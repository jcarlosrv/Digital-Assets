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ki1.sharepoint.com/sites/DPSKAIP2025/Shared Documents/DPS KAIP 2025/Analysis/Digital Assets/streamlit/"/>
    </mc:Choice>
  </mc:AlternateContent>
  <xr:revisionPtr revIDLastSave="22" documentId="8_{C57503B1-C5F8-471D-821C-77D3F7F4C977}" xr6:coauthVersionLast="47" xr6:coauthVersionMax="47" xr10:uidLastSave="{D1BBD543-44C0-4593-8B3D-1A27369944B3}"/>
  <bookViews>
    <workbookView xWindow="-120" yWindow="-120" windowWidth="24240" windowHeight="13020" xr2:uid="{5C87085B-DA64-4133-AAE1-B815F5A9F351}"/>
  </bookViews>
  <sheets>
    <sheet name="Chicago IT budget_clean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2" i="1"/>
</calcChain>
</file>

<file path=xl/sharedStrings.xml><?xml version="1.0" encoding="utf-8"?>
<sst xmlns="http://schemas.openxmlformats.org/spreadsheetml/2006/main" count="354" uniqueCount="49">
  <si>
    <t>Department</t>
  </si>
  <si>
    <t>IT Type</t>
  </si>
  <si>
    <t>Finance General</t>
  </si>
  <si>
    <t>IT Outside Services</t>
  </si>
  <si>
    <t>IT Outside Services*</t>
  </si>
  <si>
    <t xml:space="preserve">IT Software </t>
  </si>
  <si>
    <t xml:space="preserve">IT Equipment </t>
  </si>
  <si>
    <t>Chicago Department of Aviation</t>
  </si>
  <si>
    <t>IT Labor</t>
  </si>
  <si>
    <t>Office of Public Safety Administration</t>
  </si>
  <si>
    <t>Department of Finance</t>
  </si>
  <si>
    <t>Department of Technology and Innovation</t>
  </si>
  <si>
    <t>Chicago Police Department</t>
  </si>
  <si>
    <t>Department of Family and Support Services</t>
  </si>
  <si>
    <t>Department of Streets and Sanitation</t>
  </si>
  <si>
    <t>Chicago Fire Department</t>
  </si>
  <si>
    <t>Board of Election Commissioners</t>
  </si>
  <si>
    <t>Department of Planning and Development</t>
  </si>
  <si>
    <t>Office of Emergency Management and Communications</t>
  </si>
  <si>
    <t>Chicago Public Library</t>
  </si>
  <si>
    <t>Office of Budget and Management</t>
  </si>
  <si>
    <t>Office of Inspector General</t>
  </si>
  <si>
    <t>Department of Housing</t>
  </si>
  <si>
    <t>Department of Cultural Affairs and Special Events</t>
  </si>
  <si>
    <t>Office of City Clerk</t>
  </si>
  <si>
    <t>Department of Administrative Hearings</t>
  </si>
  <si>
    <t>Department of Business Affairs and Consumer Protection</t>
  </si>
  <si>
    <t>Department of Law</t>
  </si>
  <si>
    <t>Department of Buildings</t>
  </si>
  <si>
    <t>Civilian Office of Police Accountability</t>
  </si>
  <si>
    <t>Department of Procurement Services</t>
  </si>
  <si>
    <t>City Treasurer's Office</t>
  </si>
  <si>
    <t>Department of Human Resources</t>
  </si>
  <si>
    <t>Mayor's Office for People with Disabilities</t>
  </si>
  <si>
    <t>Community Commission for Public Safety and Accountability</t>
  </si>
  <si>
    <t>Office of the Mayor</t>
  </si>
  <si>
    <t>Chicago Animal Care and Control</t>
  </si>
  <si>
    <t>Chicago Police Board</t>
  </si>
  <si>
    <t>Chicago Commission on Human Relations</t>
  </si>
  <si>
    <t>City Council</t>
  </si>
  <si>
    <t>License Appeal Commission</t>
  </si>
  <si>
    <t>Board of Ethics</t>
  </si>
  <si>
    <t>Sector</t>
  </si>
  <si>
    <t>Office of Climate and Environmental Equity</t>
  </si>
  <si>
    <t>Department of Water Management</t>
  </si>
  <si>
    <t>Chicago Department of Public Health</t>
  </si>
  <si>
    <t>Chicago Department of Transportation</t>
  </si>
  <si>
    <t>Department of Assets  Information  and Services</t>
  </si>
  <si>
    <t>Short Name Departmen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</si>
</sst>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164" fontId="0" fillId="0" borderId="0" xfId="0" applyNumberForma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ki1.sharepoint.com/sites/FabricPOC/Shared%20Documents/General/Testing%20Files/Chicago/DICTS/DICT_Agency%20Dicts.xlsx" TargetMode="External"/><Relationship Id="rId1" Type="http://schemas.openxmlformats.org/officeDocument/2006/relationships/externalLinkPath" Target="/sites/FabricPOC/Shared%20Documents/General/Testing%20Files/Chicago/DICTS/DICT_Agency%20Dic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ency Dict"/>
      <sheetName val="Sheet1"/>
      <sheetName val="Agency Dict Payments"/>
    </sheetNames>
    <sheetDataSet>
      <sheetData sheetId="0">
        <row r="2">
          <cell r="C2" t="str">
            <v>Undefined</v>
          </cell>
          <cell r="E2" t="str">
            <v>Undefined</v>
          </cell>
          <cell r="F2" t="str">
            <v>Undefined</v>
          </cell>
        </row>
        <row r="3">
          <cell r="C3" t="str">
            <v>Office of the Mayor</v>
          </cell>
          <cell r="E3" t="str">
            <v>MO</v>
          </cell>
          <cell r="F3" t="str">
            <v>Finance and Administration</v>
          </cell>
        </row>
        <row r="4">
          <cell r="C4" t="str">
            <v>Office of Inspector General</v>
          </cell>
          <cell r="E4" t="str">
            <v>OIG</v>
          </cell>
          <cell r="F4" t="str">
            <v>Regulatory</v>
          </cell>
        </row>
        <row r="5">
          <cell r="C5" t="str">
            <v>Office of Budget and Management</v>
          </cell>
          <cell r="E5" t="str">
            <v>OBM</v>
          </cell>
          <cell r="F5" t="str">
            <v>Finance and Administration</v>
          </cell>
        </row>
        <row r="6">
          <cell r="C6" t="str">
            <v>Department of Technology and Innovation</v>
          </cell>
          <cell r="E6" t="str">
            <v>DTI</v>
          </cell>
          <cell r="F6" t="str">
            <v>Finance and Administration</v>
          </cell>
        </row>
        <row r="7">
          <cell r="C7" t="str">
            <v>City Council</v>
          </cell>
          <cell r="E7" t="str">
            <v>COUNCIL</v>
          </cell>
          <cell r="F7" t="str">
            <v>Legislative and Election</v>
          </cell>
        </row>
        <row r="8">
          <cell r="C8" t="str">
            <v>Department of Housing</v>
          </cell>
          <cell r="E8" t="str">
            <v>DOH</v>
          </cell>
          <cell r="F8" t="str">
            <v>City Development</v>
          </cell>
        </row>
        <row r="9">
          <cell r="C9" t="str">
            <v>Department of Cultural Affairs and Special Events</v>
          </cell>
          <cell r="E9" t="str">
            <v>DCASE</v>
          </cell>
          <cell r="F9" t="str">
            <v>City Development</v>
          </cell>
        </row>
        <row r="10">
          <cell r="C10" t="str">
            <v>Office of City Clerk</v>
          </cell>
          <cell r="E10" t="str">
            <v>CLERK</v>
          </cell>
          <cell r="F10" t="str">
            <v>Finance and Administration</v>
          </cell>
        </row>
        <row r="11">
          <cell r="C11" t="str">
            <v>Department of Finance</v>
          </cell>
          <cell r="E11" t="str">
            <v>DOF</v>
          </cell>
          <cell r="F11" t="str">
            <v>Finance and Administration</v>
          </cell>
        </row>
        <row r="12">
          <cell r="C12" t="str">
            <v>City Treasurer's Office</v>
          </cell>
          <cell r="E12" t="str">
            <v>CTO</v>
          </cell>
          <cell r="F12" t="str">
            <v>Finance and Administration</v>
          </cell>
        </row>
        <row r="13">
          <cell r="C13" t="str">
            <v>Department of Administrative Hearings</v>
          </cell>
          <cell r="E13" t="str">
            <v>DOAH</v>
          </cell>
          <cell r="F13" t="str">
            <v>Finance and Administration</v>
          </cell>
        </row>
        <row r="14">
          <cell r="C14" t="str">
            <v>Department of Law</v>
          </cell>
          <cell r="E14" t="str">
            <v>LAW</v>
          </cell>
          <cell r="F14" t="str">
            <v>Finance and Administration</v>
          </cell>
        </row>
        <row r="15">
          <cell r="C15" t="str">
            <v>Department of Human Resources</v>
          </cell>
          <cell r="E15" t="str">
            <v>DHR</v>
          </cell>
          <cell r="F15" t="str">
            <v>Finance and Administration</v>
          </cell>
        </row>
        <row r="16">
          <cell r="C16" t="str">
            <v>Department of Procurement Services</v>
          </cell>
          <cell r="E16" t="str">
            <v>DPS</v>
          </cell>
          <cell r="F16" t="str">
            <v>Finance and Administration</v>
          </cell>
        </row>
        <row r="17">
          <cell r="C17" t="str">
            <v>Department of Assets  Information  and Services</v>
          </cell>
          <cell r="D17" t="str">
            <v>Department of Fleet and Facility Management</v>
          </cell>
          <cell r="E17" t="str">
            <v>AIS</v>
          </cell>
          <cell r="F17" t="str">
            <v>Finance and Administration</v>
          </cell>
        </row>
        <row r="18">
          <cell r="C18" t="str">
            <v>Board of Election Commissioners</v>
          </cell>
          <cell r="E18" t="str">
            <v>ELECTIONS</v>
          </cell>
          <cell r="F18" t="str">
            <v>Legislative and Election</v>
          </cell>
        </row>
        <row r="19">
          <cell r="C19" t="str">
            <v>Chicago Department of Public Health</v>
          </cell>
          <cell r="E19" t="str">
            <v>CDPH</v>
          </cell>
          <cell r="F19" t="str">
            <v>Community Services</v>
          </cell>
        </row>
        <row r="20">
          <cell r="C20" t="str">
            <v>Chicago Commission on Human Relations</v>
          </cell>
          <cell r="E20" t="str">
            <v>CCHR</v>
          </cell>
          <cell r="F20" t="str">
            <v>Community Services</v>
          </cell>
        </row>
        <row r="21">
          <cell r="C21" t="str">
            <v>Mayor's Office for People with Disabilities</v>
          </cell>
          <cell r="E21" t="str">
            <v>MOPD</v>
          </cell>
          <cell r="F21" t="str">
            <v>Community Services</v>
          </cell>
        </row>
        <row r="22">
          <cell r="C22" t="str">
            <v>Department of Family and Support Services</v>
          </cell>
          <cell r="E22" t="str">
            <v>DFSS</v>
          </cell>
          <cell r="F22" t="str">
            <v>Community Services</v>
          </cell>
        </row>
        <row r="23">
          <cell r="C23" t="str">
            <v>Office of Public Safety Administration</v>
          </cell>
          <cell r="E23" t="str">
            <v>PSA</v>
          </cell>
          <cell r="F23" t="str">
            <v>Public Safety</v>
          </cell>
        </row>
        <row r="24">
          <cell r="C24" t="str">
            <v>Department of Planning and Development</v>
          </cell>
          <cell r="E24" t="str">
            <v>DPD</v>
          </cell>
          <cell r="F24" t="str">
            <v>City Development</v>
          </cell>
        </row>
        <row r="25">
          <cell r="C25" t="str">
            <v>Chicago Police Board</v>
          </cell>
          <cell r="E25" t="str">
            <v>POLICE BOARD</v>
          </cell>
          <cell r="F25" t="str">
            <v>Public Safety</v>
          </cell>
        </row>
        <row r="26">
          <cell r="C26" t="str">
            <v>Chicago Police Department</v>
          </cell>
          <cell r="E26" t="str">
            <v>CPD</v>
          </cell>
          <cell r="F26" t="str">
            <v>Public Safety</v>
          </cell>
        </row>
        <row r="27">
          <cell r="C27" t="str">
            <v>Office of Emergency Management and Communications</v>
          </cell>
          <cell r="E27" t="str">
            <v>OEMC</v>
          </cell>
          <cell r="F27" t="str">
            <v>Public Safety</v>
          </cell>
        </row>
        <row r="28">
          <cell r="C28" t="str">
            <v>Chicago Fire Department</v>
          </cell>
          <cell r="E28" t="str">
            <v>CFD</v>
          </cell>
          <cell r="F28" t="str">
            <v>Public Safety</v>
          </cell>
        </row>
        <row r="29">
          <cell r="C29" t="str">
            <v>Civilian Office of Police Accountability</v>
          </cell>
          <cell r="E29" t="str">
            <v>COPA</v>
          </cell>
          <cell r="F29" t="str">
            <v>Public Safety</v>
          </cell>
        </row>
        <row r="30">
          <cell r="C30" t="str">
            <v>Community Commission for Public Safety and Accountability</v>
          </cell>
          <cell r="E30" t="str">
            <v>CCPSA</v>
          </cell>
          <cell r="F30" t="str">
            <v>Public Safety</v>
          </cell>
        </row>
        <row r="31">
          <cell r="C31" t="str">
            <v>Department of Buildings</v>
          </cell>
          <cell r="E31" t="str">
            <v>DOB</v>
          </cell>
          <cell r="F31" t="str">
            <v>Regulatory</v>
          </cell>
        </row>
        <row r="32">
          <cell r="C32" t="str">
            <v>Department of Business Affairs and Consumer Protection</v>
          </cell>
          <cell r="E32" t="str">
            <v>BACP</v>
          </cell>
          <cell r="F32" t="str">
            <v>Regulatory</v>
          </cell>
        </row>
        <row r="33">
          <cell r="C33" t="str">
            <v>Office of Climate and Environmental Equity</v>
          </cell>
          <cell r="E33" t="str">
            <v>DOE</v>
          </cell>
          <cell r="F33" t="str">
            <v>Regulatory</v>
          </cell>
        </row>
        <row r="34">
          <cell r="C34" t="str">
            <v>Chicago Animal Care and Control</v>
          </cell>
          <cell r="E34" t="str">
            <v>CACC</v>
          </cell>
          <cell r="F34" t="str">
            <v>Regulatory</v>
          </cell>
        </row>
        <row r="35">
          <cell r="C35" t="str">
            <v>License Appeal Commission</v>
          </cell>
          <cell r="E35" t="str">
            <v>LAC</v>
          </cell>
          <cell r="F35" t="str">
            <v>Regulatory</v>
          </cell>
        </row>
        <row r="36">
          <cell r="C36" t="str">
            <v>Board of Ethics</v>
          </cell>
          <cell r="E36" t="str">
            <v>ETHICS</v>
          </cell>
          <cell r="F36" t="str">
            <v>Regulatory</v>
          </cell>
        </row>
        <row r="37">
          <cell r="C37" t="str">
            <v>Department of Streets and Sanitation</v>
          </cell>
          <cell r="E37" t="str">
            <v>DSS</v>
          </cell>
          <cell r="F37" t="str">
            <v>Infrastructure Services</v>
          </cell>
        </row>
        <row r="38">
          <cell r="C38" t="str">
            <v>Chicago Department of Transportation</v>
          </cell>
          <cell r="E38" t="str">
            <v>CDOT</v>
          </cell>
          <cell r="F38" t="str">
            <v>Infrastructure Services</v>
          </cell>
        </row>
        <row r="39">
          <cell r="C39" t="str">
            <v>Chicago Department of Aviation</v>
          </cell>
          <cell r="E39" t="str">
            <v>CDA</v>
          </cell>
          <cell r="F39" t="str">
            <v>Infrastructure Services</v>
          </cell>
        </row>
        <row r="40">
          <cell r="C40" t="str">
            <v>Department of Water Management</v>
          </cell>
          <cell r="E40" t="str">
            <v>DWM</v>
          </cell>
          <cell r="F40" t="str">
            <v>Infrastructure Services</v>
          </cell>
        </row>
        <row r="41">
          <cell r="C41" t="str">
            <v>Chicago Public Library</v>
          </cell>
          <cell r="E41" t="str">
            <v>CPL</v>
          </cell>
          <cell r="F41" t="str">
            <v>Community Services</v>
          </cell>
        </row>
        <row r="42">
          <cell r="C42" t="str">
            <v>Finance General</v>
          </cell>
          <cell r="E42" t="str">
            <v>FinGen</v>
          </cell>
          <cell r="F42" t="str">
            <v>Finance and Administration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22B85-6FB4-4061-808D-042FC11D674E}">
  <dimension ref="A1:J176"/>
  <sheetViews>
    <sheetView tabSelected="1" workbookViewId="0">
      <selection activeCell="L5" sqref="L5"/>
    </sheetView>
  </sheetViews>
  <sheetFormatPr defaultRowHeight="15" x14ac:dyDescent="0.25"/>
  <cols>
    <col min="1" max="1" width="26" bestFit="1" customWidth="1"/>
    <col min="2" max="2" width="26" customWidth="1"/>
    <col min="3" max="3" width="57.140625" bestFit="1" customWidth="1"/>
  </cols>
  <sheetData>
    <row r="1" spans="1:10" x14ac:dyDescent="0.25">
      <c r="A1" t="s">
        <v>42</v>
      </c>
      <c r="B1" t="s">
        <v>48</v>
      </c>
      <c r="C1" s="1" t="s">
        <v>0</v>
      </c>
      <c r="D1" s="1" t="s">
        <v>1</v>
      </c>
      <c r="E1" s="1">
        <v>2021</v>
      </c>
      <c r="F1" s="1">
        <v>2022</v>
      </c>
      <c r="G1" s="1">
        <v>2023</v>
      </c>
      <c r="H1" s="1">
        <v>2024</v>
      </c>
      <c r="I1" s="1">
        <v>2025</v>
      </c>
      <c r="J1" s="1">
        <v>2026</v>
      </c>
    </row>
    <row r="2" spans="1:10" x14ac:dyDescent="0.25">
      <c r="A2" t="str">
        <f>VLOOKUP(C2,'[1]Agency Dict'!C$2:F$42,4,0)</f>
        <v>Finance and Administration</v>
      </c>
      <c r="B2" t="str">
        <f>VLOOKUP(C2,'[1]Agency Dict'!C$2:E$42,3,0)</f>
        <v>FinGen</v>
      </c>
      <c r="C2" s="2" t="s">
        <v>2</v>
      </c>
      <c r="D2" t="s">
        <v>3</v>
      </c>
      <c r="E2" s="3">
        <v>94609446</v>
      </c>
      <c r="F2" s="3">
        <v>95091851</v>
      </c>
      <c r="G2" s="3">
        <v>104619744</v>
      </c>
      <c r="H2" s="3">
        <v>107586625</v>
      </c>
      <c r="I2" s="3">
        <v>100996757</v>
      </c>
      <c r="J2" s="3">
        <v>90863771</v>
      </c>
    </row>
    <row r="3" spans="1:10" x14ac:dyDescent="0.25">
      <c r="A3" t="str">
        <f>VLOOKUP(C3,'[1]Agency Dict'!C$2:F$42,4,0)</f>
        <v>Finance and Administration</v>
      </c>
      <c r="B3" t="str">
        <f>VLOOKUP(C3,'[1]Agency Dict'!C$2:E$42,3,0)</f>
        <v>FinGen</v>
      </c>
      <c r="C3" s="2" t="s">
        <v>2</v>
      </c>
      <c r="D3" t="s">
        <v>4</v>
      </c>
      <c r="E3" s="3">
        <v>30393397.5</v>
      </c>
      <c r="F3" s="3">
        <v>33087206.25</v>
      </c>
      <c r="G3" s="3">
        <v>38220638.25</v>
      </c>
      <c r="H3" s="3">
        <v>41335852.5</v>
      </c>
      <c r="I3" s="3">
        <v>39065448</v>
      </c>
      <c r="J3" s="3">
        <v>41664728.5</v>
      </c>
    </row>
    <row r="4" spans="1:10" x14ac:dyDescent="0.25">
      <c r="A4" t="str">
        <f>VLOOKUP(C4,'[1]Agency Dict'!C$2:F$42,4,0)</f>
        <v>Finance and Administration</v>
      </c>
      <c r="B4" t="str">
        <f>VLOOKUP(C4,'[1]Agency Dict'!C$2:E$42,3,0)</f>
        <v>FinGen</v>
      </c>
      <c r="C4" s="2" t="s">
        <v>2</v>
      </c>
      <c r="D4" t="s">
        <v>5</v>
      </c>
      <c r="E4" s="3">
        <v>66000</v>
      </c>
      <c r="F4" s="3">
        <v>107095</v>
      </c>
      <c r="G4" s="3">
        <v>107095</v>
      </c>
      <c r="H4" s="3">
        <v>224277</v>
      </c>
      <c r="I4" s="3">
        <v>2225677</v>
      </c>
      <c r="J4" s="3">
        <v>2109095</v>
      </c>
    </row>
    <row r="5" spans="1:10" x14ac:dyDescent="0.25">
      <c r="A5" t="str">
        <f>VLOOKUP(C5,'[1]Agency Dict'!C$2:F$42,4,0)</f>
        <v>Finance and Administration</v>
      </c>
      <c r="B5" t="str">
        <f>VLOOKUP(C5,'[1]Agency Dict'!C$2:E$42,3,0)</f>
        <v>FinGen</v>
      </c>
      <c r="C5" s="4" t="s">
        <v>2</v>
      </c>
      <c r="D5" t="s">
        <v>6</v>
      </c>
      <c r="E5" s="3">
        <v>367000</v>
      </c>
      <c r="F5" s="3"/>
      <c r="G5" s="3"/>
      <c r="H5" s="3"/>
      <c r="I5" s="3"/>
      <c r="J5" s="3"/>
    </row>
    <row r="6" spans="1:10" x14ac:dyDescent="0.25">
      <c r="A6" t="str">
        <f>VLOOKUP(C6,'[1]Agency Dict'!C$2:F$42,4,0)</f>
        <v>Infrastructure Services</v>
      </c>
      <c r="B6" t="str">
        <f>VLOOKUP(C6,'[1]Agency Dict'!C$2:E$42,3,0)</f>
        <v>CDA</v>
      </c>
      <c r="C6" s="2" t="s">
        <v>7</v>
      </c>
      <c r="D6" t="s">
        <v>4</v>
      </c>
      <c r="E6" s="3">
        <v>85898014.125</v>
      </c>
      <c r="F6" s="3">
        <v>85209587.5</v>
      </c>
      <c r="G6" s="3">
        <v>51735562.5</v>
      </c>
      <c r="H6" s="3">
        <v>42338292.75</v>
      </c>
      <c r="I6" s="3">
        <v>99854525</v>
      </c>
      <c r="J6" s="3">
        <v>104753775</v>
      </c>
    </row>
    <row r="7" spans="1:10" x14ac:dyDescent="0.25">
      <c r="A7" t="str">
        <f>VLOOKUP(C7,'[1]Agency Dict'!C$2:F$42,4,0)</f>
        <v>Infrastructure Services</v>
      </c>
      <c r="B7" t="str">
        <f>VLOOKUP(C7,'[1]Agency Dict'!C$2:E$42,3,0)</f>
        <v>CDA</v>
      </c>
      <c r="C7" s="2" t="s">
        <v>7</v>
      </c>
      <c r="D7" t="s">
        <v>3</v>
      </c>
      <c r="E7" s="3">
        <v>11350300</v>
      </c>
      <c r="F7" s="3">
        <v>11936000</v>
      </c>
      <c r="G7" s="3">
        <v>7561770</v>
      </c>
      <c r="H7" s="3">
        <v>7620400</v>
      </c>
      <c r="I7" s="3">
        <v>42551900</v>
      </c>
      <c r="J7" s="3">
        <v>66774500</v>
      </c>
    </row>
    <row r="8" spans="1:10" x14ac:dyDescent="0.25">
      <c r="A8" t="str">
        <f>VLOOKUP(C8,'[1]Agency Dict'!C$2:F$42,4,0)</f>
        <v>Infrastructure Services</v>
      </c>
      <c r="B8" t="str">
        <f>VLOOKUP(C8,'[1]Agency Dict'!C$2:E$42,3,0)</f>
        <v>CDA</v>
      </c>
      <c r="C8" s="2" t="s">
        <v>7</v>
      </c>
      <c r="D8" t="s">
        <v>6</v>
      </c>
      <c r="E8" s="3">
        <v>1718450</v>
      </c>
      <c r="F8" s="3">
        <v>2737150</v>
      </c>
      <c r="G8" s="3">
        <v>1644180</v>
      </c>
      <c r="H8" s="3">
        <v>811580</v>
      </c>
      <c r="I8" s="3">
        <v>10544000</v>
      </c>
      <c r="J8" s="3">
        <v>24788600</v>
      </c>
    </row>
    <row r="9" spans="1:10" x14ac:dyDescent="0.25">
      <c r="A9" t="str">
        <f>VLOOKUP(C9,'[1]Agency Dict'!C$2:F$42,4,0)</f>
        <v>Infrastructure Services</v>
      </c>
      <c r="B9" t="str">
        <f>VLOOKUP(C9,'[1]Agency Dict'!C$2:E$42,3,0)</f>
        <v>CDA</v>
      </c>
      <c r="C9" s="2" t="s">
        <v>7</v>
      </c>
      <c r="D9" t="s">
        <v>8</v>
      </c>
      <c r="E9" s="3">
        <v>1409568</v>
      </c>
      <c r="F9" s="3">
        <v>1528056</v>
      </c>
      <c r="G9" s="3">
        <v>1671072</v>
      </c>
      <c r="H9" s="3">
        <v>2775732</v>
      </c>
      <c r="I9" s="3">
        <v>2775732</v>
      </c>
      <c r="J9" s="3">
        <v>2775732</v>
      </c>
    </row>
    <row r="10" spans="1:10" x14ac:dyDescent="0.25">
      <c r="A10" t="str">
        <f>VLOOKUP(C10,'[1]Agency Dict'!C$2:F$42,4,0)</f>
        <v>Infrastructure Services</v>
      </c>
      <c r="B10" t="str">
        <f>VLOOKUP(C10,'[1]Agency Dict'!C$2:E$42,3,0)</f>
        <v>CDA</v>
      </c>
      <c r="C10" s="4" t="s">
        <v>7</v>
      </c>
      <c r="D10" t="s">
        <v>5</v>
      </c>
      <c r="E10" s="3">
        <v>688550</v>
      </c>
      <c r="F10" s="3">
        <v>673050</v>
      </c>
      <c r="G10" s="3">
        <v>447030</v>
      </c>
      <c r="H10" s="3">
        <v>422180</v>
      </c>
      <c r="I10" s="3">
        <v>2409500</v>
      </c>
      <c r="J10" s="3">
        <v>2977400</v>
      </c>
    </row>
    <row r="11" spans="1:10" x14ac:dyDescent="0.25">
      <c r="A11" t="str">
        <f>VLOOKUP(C11,'[1]Agency Dict'!C$2:F$42,4,0)</f>
        <v>Public Safety</v>
      </c>
      <c r="B11" t="str">
        <f>VLOOKUP(C11,'[1]Agency Dict'!C$2:E$42,3,0)</f>
        <v>PSA</v>
      </c>
      <c r="C11" s="2" t="s">
        <v>9</v>
      </c>
      <c r="D11" t="s">
        <v>3</v>
      </c>
      <c r="E11" s="3">
        <v>36977548</v>
      </c>
      <c r="F11" s="3">
        <v>37489468</v>
      </c>
      <c r="G11" s="3">
        <v>40557506</v>
      </c>
      <c r="H11" s="3">
        <v>40959728</v>
      </c>
      <c r="I11" s="3">
        <v>33349426</v>
      </c>
      <c r="J11" s="3">
        <v>33028858</v>
      </c>
    </row>
    <row r="12" spans="1:10" x14ac:dyDescent="0.25">
      <c r="A12" t="str">
        <f>VLOOKUP(C12,'[1]Agency Dict'!C$2:F$42,4,0)</f>
        <v>Public Safety</v>
      </c>
      <c r="B12" t="str">
        <f>VLOOKUP(C12,'[1]Agency Dict'!C$2:E$42,3,0)</f>
        <v>PSA</v>
      </c>
      <c r="C12" s="2" t="s">
        <v>9</v>
      </c>
      <c r="D12" t="s">
        <v>5</v>
      </c>
      <c r="E12" s="3">
        <v>11261466</v>
      </c>
      <c r="F12" s="3">
        <v>11801593</v>
      </c>
      <c r="G12" s="3">
        <v>14305178</v>
      </c>
      <c r="H12" s="3">
        <v>15426326</v>
      </c>
      <c r="I12" s="3">
        <v>15610300</v>
      </c>
      <c r="J12" s="3">
        <v>11795589</v>
      </c>
    </row>
    <row r="13" spans="1:10" x14ac:dyDescent="0.25">
      <c r="A13" t="str">
        <f>VLOOKUP(C13,'[1]Agency Dict'!C$2:F$42,4,0)</f>
        <v>Public Safety</v>
      </c>
      <c r="B13" t="str">
        <f>VLOOKUP(C13,'[1]Agency Dict'!C$2:E$42,3,0)</f>
        <v>PSA</v>
      </c>
      <c r="C13" s="2" t="s">
        <v>9</v>
      </c>
      <c r="D13" t="s">
        <v>6</v>
      </c>
      <c r="E13" s="3">
        <v>9567144</v>
      </c>
      <c r="F13" s="3">
        <v>10123789</v>
      </c>
      <c r="G13" s="3">
        <v>10573789</v>
      </c>
      <c r="H13" s="3">
        <v>10573789</v>
      </c>
      <c r="I13" s="3">
        <v>10369800</v>
      </c>
      <c r="J13" s="3">
        <v>5871299</v>
      </c>
    </row>
    <row r="14" spans="1:10" x14ac:dyDescent="0.25">
      <c r="A14" t="str">
        <f>VLOOKUP(C14,'[1]Agency Dict'!C$2:F$42,4,0)</f>
        <v>Public Safety</v>
      </c>
      <c r="B14" t="str">
        <f>VLOOKUP(C14,'[1]Agency Dict'!C$2:E$42,3,0)</f>
        <v>PSA</v>
      </c>
      <c r="C14" s="2" t="s">
        <v>9</v>
      </c>
      <c r="D14" t="s">
        <v>4</v>
      </c>
      <c r="E14" s="3">
        <v>9609460.25</v>
      </c>
      <c r="F14" s="3">
        <v>14740348.25</v>
      </c>
      <c r="G14" s="3">
        <v>13281822.25</v>
      </c>
      <c r="H14" s="3">
        <v>12354205.5</v>
      </c>
      <c r="I14" s="3">
        <v>3729937.5</v>
      </c>
      <c r="J14" s="3">
        <v>1936830</v>
      </c>
    </row>
    <row r="15" spans="1:10" x14ac:dyDescent="0.25">
      <c r="A15" t="str">
        <f>VLOOKUP(C15,'[1]Agency Dict'!C$2:F$42,4,0)</f>
        <v>Public Safety</v>
      </c>
      <c r="B15" t="str">
        <f>VLOOKUP(C15,'[1]Agency Dict'!C$2:E$42,3,0)</f>
        <v>PSA</v>
      </c>
      <c r="C15" s="4" t="s">
        <v>9</v>
      </c>
      <c r="D15" t="s">
        <v>8</v>
      </c>
      <c r="E15" s="3">
        <v>2206056</v>
      </c>
      <c r="F15" s="3">
        <v>2259132</v>
      </c>
      <c r="G15" s="3">
        <v>2627244</v>
      </c>
      <c r="H15" s="3">
        <v>2948712</v>
      </c>
      <c r="I15" s="3">
        <v>2948712</v>
      </c>
      <c r="J15" s="3">
        <v>2948712</v>
      </c>
    </row>
    <row r="16" spans="1:10" x14ac:dyDescent="0.25">
      <c r="A16" t="str">
        <f>VLOOKUP(C16,'[1]Agency Dict'!C$2:F$42,4,0)</f>
        <v>Finance and Administration</v>
      </c>
      <c r="B16" t="str">
        <f>VLOOKUP(C16,'[1]Agency Dict'!C$2:E$42,3,0)</f>
        <v>AIS</v>
      </c>
      <c r="C16" s="2" t="s">
        <v>47</v>
      </c>
      <c r="D16" t="s">
        <v>4</v>
      </c>
      <c r="E16" s="3">
        <v>23893251.25</v>
      </c>
      <c r="F16" s="3">
        <v>26099905.5</v>
      </c>
      <c r="G16" s="3">
        <v>29775454.75</v>
      </c>
      <c r="H16" s="3">
        <v>20493567.5</v>
      </c>
      <c r="I16" s="3">
        <v>9060547.5</v>
      </c>
      <c r="J16" s="3">
        <v>8649117.75</v>
      </c>
    </row>
    <row r="17" spans="1:10" x14ac:dyDescent="0.25">
      <c r="A17" t="str">
        <f>VLOOKUP(C17,'[1]Agency Dict'!C$2:F$42,4,0)</f>
        <v>Finance and Administration</v>
      </c>
      <c r="B17" t="str">
        <f>VLOOKUP(C17,'[1]Agency Dict'!C$2:E$42,3,0)</f>
        <v>AIS</v>
      </c>
      <c r="C17" s="2" t="s">
        <v>47</v>
      </c>
      <c r="D17" t="s">
        <v>5</v>
      </c>
      <c r="E17" s="3">
        <v>10671738</v>
      </c>
      <c r="F17" s="3">
        <v>12031360</v>
      </c>
      <c r="G17" s="3">
        <v>11533052</v>
      </c>
      <c r="H17" s="3">
        <v>1014612</v>
      </c>
      <c r="I17" s="3">
        <v>1058628</v>
      </c>
      <c r="J17" s="3">
        <v>1062078</v>
      </c>
    </row>
    <row r="18" spans="1:10" x14ac:dyDescent="0.25">
      <c r="A18" t="str">
        <f>VLOOKUP(C18,'[1]Agency Dict'!C$2:F$42,4,0)</f>
        <v>Finance and Administration</v>
      </c>
      <c r="B18" t="str">
        <f>VLOOKUP(C18,'[1]Agency Dict'!C$2:E$42,3,0)</f>
        <v>AIS</v>
      </c>
      <c r="C18" s="2" t="s">
        <v>47</v>
      </c>
      <c r="D18" t="s">
        <v>8</v>
      </c>
      <c r="E18" s="3">
        <v>8836620</v>
      </c>
      <c r="F18" s="3">
        <v>9713844</v>
      </c>
      <c r="G18" s="3">
        <v>16806876</v>
      </c>
      <c r="H18" s="3">
        <v>519588</v>
      </c>
      <c r="I18" s="3">
        <v>519588</v>
      </c>
      <c r="J18" s="3">
        <v>519588</v>
      </c>
    </row>
    <row r="19" spans="1:10" x14ac:dyDescent="0.25">
      <c r="A19" t="str">
        <f>VLOOKUP(C19,'[1]Agency Dict'!C$2:F$42,4,0)</f>
        <v>Finance and Administration</v>
      </c>
      <c r="B19" t="str">
        <f>VLOOKUP(C19,'[1]Agency Dict'!C$2:E$42,3,0)</f>
        <v>AIS</v>
      </c>
      <c r="C19" s="2" t="s">
        <v>47</v>
      </c>
      <c r="D19" t="s">
        <v>3</v>
      </c>
      <c r="E19" s="3">
        <v>5830189</v>
      </c>
      <c r="F19" s="3">
        <v>11558104</v>
      </c>
      <c r="G19" s="3">
        <v>10451131</v>
      </c>
      <c r="H19" s="3"/>
      <c r="I19" s="3"/>
      <c r="J19" s="3">
        <v>1696465</v>
      </c>
    </row>
    <row r="20" spans="1:10" x14ac:dyDescent="0.25">
      <c r="A20" t="str">
        <f>VLOOKUP(C20,'[1]Agency Dict'!C$2:F$42,4,0)</f>
        <v>Finance and Administration</v>
      </c>
      <c r="B20" t="str">
        <f>VLOOKUP(C20,'[1]Agency Dict'!C$2:E$42,3,0)</f>
        <v>AIS</v>
      </c>
      <c r="C20" s="2" t="s">
        <v>47</v>
      </c>
      <c r="D20" t="s">
        <v>6</v>
      </c>
      <c r="E20" s="3">
        <v>912956</v>
      </c>
      <c r="F20" s="3">
        <v>2265766</v>
      </c>
      <c r="G20" s="3">
        <v>1735022</v>
      </c>
      <c r="H20" s="3">
        <v>35000</v>
      </c>
      <c r="I20" s="3">
        <v>65000</v>
      </c>
      <c r="J20" s="3">
        <v>65000</v>
      </c>
    </row>
    <row r="21" spans="1:10" x14ac:dyDescent="0.25">
      <c r="A21" t="str">
        <f>VLOOKUP(C21,'[1]Agency Dict'!C$2:F$42,4,0)</f>
        <v>Infrastructure Services</v>
      </c>
      <c r="B21" t="str">
        <f>VLOOKUP(C21,'[1]Agency Dict'!C$2:E$42,3,0)</f>
        <v>CDOT</v>
      </c>
      <c r="C21" t="s">
        <v>46</v>
      </c>
      <c r="D21" t="s">
        <v>4</v>
      </c>
      <c r="E21" s="3">
        <v>29630775.25</v>
      </c>
      <c r="F21" s="3">
        <v>22289465.649999999</v>
      </c>
      <c r="G21" s="3">
        <v>8862914.75</v>
      </c>
      <c r="H21" s="3">
        <v>39568842</v>
      </c>
      <c r="I21" s="3">
        <v>53200115</v>
      </c>
      <c r="J21" s="3">
        <v>25691195.75</v>
      </c>
    </row>
    <row r="22" spans="1:10" x14ac:dyDescent="0.25">
      <c r="A22" t="str">
        <f>VLOOKUP(C22,'[1]Agency Dict'!C$2:F$42,4,0)</f>
        <v>Infrastructure Services</v>
      </c>
      <c r="B22" t="str">
        <f>VLOOKUP(C22,'[1]Agency Dict'!C$2:E$42,3,0)</f>
        <v>CDOT</v>
      </c>
      <c r="C22" t="s">
        <v>46</v>
      </c>
      <c r="D22" t="s">
        <v>5</v>
      </c>
      <c r="E22" s="3">
        <v>620600</v>
      </c>
      <c r="F22" s="3">
        <v>130003.2</v>
      </c>
      <c r="G22" s="3">
        <v>2138756</v>
      </c>
      <c r="H22" s="3">
        <v>3471088</v>
      </c>
      <c r="I22" s="3">
        <v>3953313</v>
      </c>
      <c r="J22" s="3">
        <v>3053432</v>
      </c>
    </row>
    <row r="23" spans="1:10" x14ac:dyDescent="0.25">
      <c r="A23" t="str">
        <f>VLOOKUP(C23,'[1]Agency Dict'!C$2:F$42,4,0)</f>
        <v>Infrastructure Services</v>
      </c>
      <c r="B23" t="str">
        <f>VLOOKUP(C23,'[1]Agency Dict'!C$2:E$42,3,0)</f>
        <v>CDOT</v>
      </c>
      <c r="C23" t="s">
        <v>46</v>
      </c>
      <c r="D23" t="s">
        <v>8</v>
      </c>
      <c r="E23" s="3">
        <v>1089036</v>
      </c>
      <c r="F23" s="3">
        <v>1138260</v>
      </c>
      <c r="G23" s="3">
        <v>1136172</v>
      </c>
      <c r="H23" s="3">
        <v>746784</v>
      </c>
      <c r="I23" s="3">
        <v>746784</v>
      </c>
      <c r="J23" s="3">
        <v>746784</v>
      </c>
    </row>
    <row r="24" spans="1:10" x14ac:dyDescent="0.25">
      <c r="A24" t="str">
        <f>VLOOKUP(C24,'[1]Agency Dict'!C$2:F$42,4,0)</f>
        <v>Infrastructure Services</v>
      </c>
      <c r="B24" t="str">
        <f>VLOOKUP(C24,'[1]Agency Dict'!C$2:E$42,3,0)</f>
        <v>CDOT</v>
      </c>
      <c r="C24" t="s">
        <v>46</v>
      </c>
      <c r="D24" t="s">
        <v>3</v>
      </c>
      <c r="E24" s="3">
        <v>589022</v>
      </c>
      <c r="F24" s="3">
        <v>2280</v>
      </c>
      <c r="G24" s="3">
        <v>30400</v>
      </c>
      <c r="H24" s="3">
        <v>30597</v>
      </c>
      <c r="I24" s="3">
        <v>119688</v>
      </c>
      <c r="J24" s="3">
        <v>366333</v>
      </c>
    </row>
    <row r="25" spans="1:10" x14ac:dyDescent="0.25">
      <c r="A25" t="str">
        <f>VLOOKUP(C25,'[1]Agency Dict'!C$2:F$42,4,0)</f>
        <v>Infrastructure Services</v>
      </c>
      <c r="B25" t="str">
        <f>VLOOKUP(C25,'[1]Agency Dict'!C$2:E$42,3,0)</f>
        <v>CDOT</v>
      </c>
      <c r="C25" t="s">
        <v>46</v>
      </c>
      <c r="D25" t="s">
        <v>6</v>
      </c>
      <c r="E25" s="3">
        <v>113956</v>
      </c>
      <c r="F25" s="3">
        <v>27793.200000000001</v>
      </c>
      <c r="G25" s="3">
        <v>270375</v>
      </c>
      <c r="H25" s="3">
        <v>246043</v>
      </c>
      <c r="I25" s="3">
        <v>189915</v>
      </c>
      <c r="J25" s="3">
        <v>144385</v>
      </c>
    </row>
    <row r="26" spans="1:10" x14ac:dyDescent="0.25">
      <c r="A26" t="str">
        <f>VLOOKUP(C26,'[1]Agency Dict'!C$2:F$42,4,0)</f>
        <v>Finance and Administration</v>
      </c>
      <c r="B26" t="str">
        <f>VLOOKUP(C26,'[1]Agency Dict'!C$2:E$42,3,0)</f>
        <v>DOF</v>
      </c>
      <c r="C26" s="2" t="s">
        <v>10</v>
      </c>
      <c r="D26" t="s">
        <v>3</v>
      </c>
      <c r="E26" s="3">
        <v>19629912</v>
      </c>
      <c r="F26" s="3">
        <v>22300060</v>
      </c>
      <c r="G26" s="3">
        <v>22554190</v>
      </c>
      <c r="H26" s="3">
        <v>22180000</v>
      </c>
      <c r="I26" s="3">
        <v>23613509</v>
      </c>
      <c r="J26" s="3">
        <v>32020829</v>
      </c>
    </row>
    <row r="27" spans="1:10" x14ac:dyDescent="0.25">
      <c r="A27" t="str">
        <f>VLOOKUP(C27,'[1]Agency Dict'!C$2:F$42,4,0)</f>
        <v>Finance and Administration</v>
      </c>
      <c r="B27" t="str">
        <f>VLOOKUP(C27,'[1]Agency Dict'!C$2:E$42,3,0)</f>
        <v>DOF</v>
      </c>
      <c r="C27" s="2" t="s">
        <v>10</v>
      </c>
      <c r="D27" t="s">
        <v>4</v>
      </c>
      <c r="E27" s="3">
        <v>3335991</v>
      </c>
      <c r="F27" s="3">
        <v>5075079</v>
      </c>
      <c r="G27" s="3">
        <v>5655846.75</v>
      </c>
      <c r="H27" s="3">
        <v>5598800.5</v>
      </c>
      <c r="I27" s="3">
        <v>6036668.25</v>
      </c>
      <c r="J27" s="3">
        <v>5997590</v>
      </c>
    </row>
    <row r="28" spans="1:10" x14ac:dyDescent="0.25">
      <c r="A28" t="str">
        <f>VLOOKUP(C28,'[1]Agency Dict'!C$2:F$42,4,0)</f>
        <v>Finance and Administration</v>
      </c>
      <c r="B28" t="str">
        <f>VLOOKUP(C28,'[1]Agency Dict'!C$2:E$42,3,0)</f>
        <v>DOF</v>
      </c>
      <c r="C28" s="2" t="s">
        <v>10</v>
      </c>
      <c r="D28" t="s">
        <v>8</v>
      </c>
      <c r="E28" s="3">
        <v>1653912</v>
      </c>
      <c r="F28" s="3">
        <v>1736664</v>
      </c>
      <c r="G28" s="3">
        <v>1727676</v>
      </c>
      <c r="H28" s="3">
        <v>1915020</v>
      </c>
      <c r="I28" s="3">
        <v>1915020</v>
      </c>
      <c r="J28" s="3">
        <v>1915020</v>
      </c>
    </row>
    <row r="29" spans="1:10" x14ac:dyDescent="0.25">
      <c r="A29" t="str">
        <f>VLOOKUP(C29,'[1]Agency Dict'!C$2:F$42,4,0)</f>
        <v>Finance and Administration</v>
      </c>
      <c r="B29" t="str">
        <f>VLOOKUP(C29,'[1]Agency Dict'!C$2:E$42,3,0)</f>
        <v>DOF</v>
      </c>
      <c r="C29" s="2" t="s">
        <v>10</v>
      </c>
      <c r="D29" t="s">
        <v>5</v>
      </c>
      <c r="E29" s="3">
        <v>503668</v>
      </c>
      <c r="F29" s="3">
        <v>500438</v>
      </c>
      <c r="G29" s="3">
        <v>470938</v>
      </c>
      <c r="H29" s="3">
        <v>548438</v>
      </c>
      <c r="I29" s="3">
        <v>795689</v>
      </c>
      <c r="J29" s="3">
        <v>1025350</v>
      </c>
    </row>
    <row r="30" spans="1:10" x14ac:dyDescent="0.25">
      <c r="A30" t="str">
        <f>VLOOKUP(C30,'[1]Agency Dict'!C$2:F$42,4,0)</f>
        <v>Finance and Administration</v>
      </c>
      <c r="B30" t="str">
        <f>VLOOKUP(C30,'[1]Agency Dict'!C$2:E$42,3,0)</f>
        <v>DOF</v>
      </c>
      <c r="C30" s="4" t="s">
        <v>10</v>
      </c>
      <c r="D30" t="s">
        <v>6</v>
      </c>
      <c r="E30" s="3">
        <v>229760</v>
      </c>
      <c r="F30" s="3"/>
      <c r="G30" s="3"/>
      <c r="H30" s="3"/>
      <c r="I30" s="3"/>
      <c r="J30" s="3"/>
    </row>
    <row r="31" spans="1:10" x14ac:dyDescent="0.25">
      <c r="A31" t="str">
        <f>VLOOKUP(C31,'[1]Agency Dict'!C$2:F$42,4,0)</f>
        <v>Finance and Administration</v>
      </c>
      <c r="B31" t="str">
        <f>VLOOKUP(C31,'[1]Agency Dict'!C$2:E$42,3,0)</f>
        <v>DTI</v>
      </c>
      <c r="C31" s="2" t="s">
        <v>11</v>
      </c>
      <c r="D31" t="s">
        <v>3</v>
      </c>
      <c r="E31" s="3"/>
      <c r="F31" s="3"/>
      <c r="G31" s="3"/>
      <c r="H31" s="3">
        <v>13125331</v>
      </c>
      <c r="I31" s="3">
        <v>15467986</v>
      </c>
      <c r="J31" s="3">
        <v>24045288</v>
      </c>
    </row>
    <row r="32" spans="1:10" x14ac:dyDescent="0.25">
      <c r="A32" t="str">
        <f>VLOOKUP(C32,'[1]Agency Dict'!C$2:F$42,4,0)</f>
        <v>Finance and Administration</v>
      </c>
      <c r="B32" t="str">
        <f>VLOOKUP(C32,'[1]Agency Dict'!C$2:E$42,3,0)</f>
        <v>DTI</v>
      </c>
      <c r="C32" s="2" t="s">
        <v>11</v>
      </c>
      <c r="D32" t="s">
        <v>8</v>
      </c>
      <c r="E32" s="3"/>
      <c r="F32" s="3"/>
      <c r="G32" s="3"/>
      <c r="H32" s="3">
        <v>17025864</v>
      </c>
      <c r="I32" s="3">
        <v>17025864</v>
      </c>
      <c r="J32" s="3">
        <v>17025864</v>
      </c>
    </row>
    <row r="33" spans="1:10" x14ac:dyDescent="0.25">
      <c r="A33" t="str">
        <f>VLOOKUP(C33,'[1]Agency Dict'!C$2:F$42,4,0)</f>
        <v>Finance and Administration</v>
      </c>
      <c r="B33" t="str">
        <f>VLOOKUP(C33,'[1]Agency Dict'!C$2:E$42,3,0)</f>
        <v>DTI</v>
      </c>
      <c r="C33" s="2" t="s">
        <v>11</v>
      </c>
      <c r="D33" t="s">
        <v>5</v>
      </c>
      <c r="E33" s="3"/>
      <c r="F33" s="3"/>
      <c r="G33" s="3"/>
      <c r="H33" s="3">
        <v>15399770</v>
      </c>
      <c r="I33" s="3">
        <v>17445140</v>
      </c>
      <c r="J33" s="3">
        <v>16896402</v>
      </c>
    </row>
    <row r="34" spans="1:10" x14ac:dyDescent="0.25">
      <c r="A34" t="str">
        <f>VLOOKUP(C34,'[1]Agency Dict'!C$2:F$42,4,0)</f>
        <v>Finance and Administration</v>
      </c>
      <c r="B34" t="str">
        <f>VLOOKUP(C34,'[1]Agency Dict'!C$2:E$42,3,0)</f>
        <v>DTI</v>
      </c>
      <c r="C34" s="2" t="s">
        <v>11</v>
      </c>
      <c r="D34" t="s">
        <v>4</v>
      </c>
      <c r="E34" s="3"/>
      <c r="F34" s="3"/>
      <c r="G34" s="3"/>
      <c r="H34" s="3">
        <v>7930816.5</v>
      </c>
      <c r="I34" s="3">
        <v>3120119</v>
      </c>
      <c r="J34" s="3">
        <v>1232050.75</v>
      </c>
    </row>
    <row r="35" spans="1:10" x14ac:dyDescent="0.25">
      <c r="A35" t="str">
        <f>VLOOKUP(C35,'[1]Agency Dict'!C$2:F$42,4,0)</f>
        <v>Finance and Administration</v>
      </c>
      <c r="B35" t="str">
        <f>VLOOKUP(C35,'[1]Agency Dict'!C$2:E$42,3,0)</f>
        <v>DTI</v>
      </c>
      <c r="C35" s="4" t="s">
        <v>11</v>
      </c>
      <c r="D35" t="s">
        <v>6</v>
      </c>
      <c r="E35" s="3"/>
      <c r="F35" s="3"/>
      <c r="G35" s="3"/>
      <c r="H35" s="3">
        <v>2077389</v>
      </c>
      <c r="I35" s="3">
        <v>2077390</v>
      </c>
      <c r="J35" s="3"/>
    </row>
    <row r="36" spans="1:10" x14ac:dyDescent="0.25">
      <c r="A36" t="str">
        <f>VLOOKUP(C36,'[1]Agency Dict'!C$2:F$42,4,0)</f>
        <v>Community Services</v>
      </c>
      <c r="B36" t="str">
        <f>VLOOKUP(C36,'[1]Agency Dict'!C$2:E$42,3,0)</f>
        <v>CDPH</v>
      </c>
      <c r="C36" t="s">
        <v>45</v>
      </c>
      <c r="D36" t="s">
        <v>4</v>
      </c>
      <c r="E36" s="3">
        <v>11645807.250000002</v>
      </c>
      <c r="F36" s="3">
        <v>29483471.449999999</v>
      </c>
      <c r="G36" s="3">
        <v>32622832.200000007</v>
      </c>
      <c r="H36" s="3">
        <v>26226630.950000003</v>
      </c>
      <c r="I36" s="3">
        <v>11299195.75</v>
      </c>
      <c r="J36" s="3">
        <v>9560399.75</v>
      </c>
    </row>
    <row r="37" spans="1:10" x14ac:dyDescent="0.25">
      <c r="A37" t="str">
        <f>VLOOKUP(C37,'[1]Agency Dict'!C$2:F$42,4,0)</f>
        <v>Community Services</v>
      </c>
      <c r="B37" t="str">
        <f>VLOOKUP(C37,'[1]Agency Dict'!C$2:E$42,3,0)</f>
        <v>CDPH</v>
      </c>
      <c r="C37" t="s">
        <v>45</v>
      </c>
      <c r="D37" t="s">
        <v>8</v>
      </c>
      <c r="E37" s="3">
        <v>2560680</v>
      </c>
      <c r="F37" s="3">
        <v>2266872</v>
      </c>
      <c r="G37" s="3">
        <v>3817812</v>
      </c>
      <c r="H37" s="3">
        <v>3681888</v>
      </c>
      <c r="I37" s="3">
        <v>3681888</v>
      </c>
      <c r="J37" s="3">
        <v>3681888</v>
      </c>
    </row>
    <row r="38" spans="1:10" x14ac:dyDescent="0.25">
      <c r="A38" t="str">
        <f>VLOOKUP(C38,'[1]Agency Dict'!C$2:F$42,4,0)</f>
        <v>Community Services</v>
      </c>
      <c r="B38" t="str">
        <f>VLOOKUP(C38,'[1]Agency Dict'!C$2:E$42,3,0)</f>
        <v>CDPH</v>
      </c>
      <c r="C38" t="s">
        <v>45</v>
      </c>
      <c r="D38" t="s">
        <v>3</v>
      </c>
      <c r="E38" s="3">
        <v>86215.2</v>
      </c>
      <c r="F38" s="3">
        <v>120096.60000000002</v>
      </c>
      <c r="G38" s="3">
        <v>146615.80000000002</v>
      </c>
      <c r="H38" s="3">
        <v>142790.39999999999</v>
      </c>
      <c r="I38" s="3">
        <v>395875</v>
      </c>
      <c r="J38" s="3">
        <v>192322</v>
      </c>
    </row>
    <row r="39" spans="1:10" x14ac:dyDescent="0.25">
      <c r="A39" t="str">
        <f>VLOOKUP(C39,'[1]Agency Dict'!C$2:F$42,4,0)</f>
        <v>Community Services</v>
      </c>
      <c r="B39" t="str">
        <f>VLOOKUP(C39,'[1]Agency Dict'!C$2:E$42,3,0)</f>
        <v>CDPH</v>
      </c>
      <c r="C39" t="s">
        <v>45</v>
      </c>
      <c r="D39" t="s">
        <v>5</v>
      </c>
      <c r="E39" s="3">
        <v>6014.6</v>
      </c>
      <c r="F39" s="3">
        <v>11772.6</v>
      </c>
      <c r="G39" s="3">
        <v>88205.4</v>
      </c>
      <c r="H39" s="3">
        <v>133445.00000000003</v>
      </c>
      <c r="I39" s="3">
        <v>297379</v>
      </c>
      <c r="J39" s="3">
        <v>88500</v>
      </c>
    </row>
    <row r="40" spans="1:10" x14ac:dyDescent="0.25">
      <c r="A40" t="str">
        <f>VLOOKUP(C40,'[1]Agency Dict'!C$2:F$42,4,0)</f>
        <v>Community Services</v>
      </c>
      <c r="B40" t="str">
        <f>VLOOKUP(C40,'[1]Agency Dict'!C$2:E$42,3,0)</f>
        <v>CDPH</v>
      </c>
      <c r="C40" t="s">
        <v>45</v>
      </c>
      <c r="D40" t="s">
        <v>6</v>
      </c>
      <c r="E40" s="3">
        <v>6275</v>
      </c>
      <c r="F40" s="3">
        <v>15355.8</v>
      </c>
      <c r="G40" s="3">
        <v>92779.8</v>
      </c>
      <c r="H40" s="3">
        <v>88721.4</v>
      </c>
      <c r="I40" s="3">
        <v>138614</v>
      </c>
      <c r="J40" s="3">
        <v>80000</v>
      </c>
    </row>
    <row r="41" spans="1:10" x14ac:dyDescent="0.25">
      <c r="A41" t="str">
        <f>VLOOKUP(C41,'[1]Agency Dict'!C$2:F$42,4,0)</f>
        <v>Public Safety</v>
      </c>
      <c r="B41" t="str">
        <f>VLOOKUP(C41,'[1]Agency Dict'!C$2:E$42,3,0)</f>
        <v>CPD</v>
      </c>
      <c r="C41" s="2" t="s">
        <v>12</v>
      </c>
      <c r="D41" t="s">
        <v>4</v>
      </c>
      <c r="E41" s="3">
        <v>11661835.25</v>
      </c>
      <c r="F41" s="3">
        <v>16651293.5</v>
      </c>
      <c r="G41" s="3">
        <v>19033300.5</v>
      </c>
      <c r="H41" s="3">
        <v>7455753.4499999993</v>
      </c>
      <c r="I41" s="3">
        <v>4491553.5</v>
      </c>
      <c r="J41" s="3">
        <v>3245583.5</v>
      </c>
    </row>
    <row r="42" spans="1:10" x14ac:dyDescent="0.25">
      <c r="A42" t="str">
        <f>VLOOKUP(C42,'[1]Agency Dict'!C$2:F$42,4,0)</f>
        <v>Public Safety</v>
      </c>
      <c r="B42" t="str">
        <f>VLOOKUP(C42,'[1]Agency Dict'!C$2:E$42,3,0)</f>
        <v>CPD</v>
      </c>
      <c r="C42" s="2" t="s">
        <v>12</v>
      </c>
      <c r="D42" t="s">
        <v>8</v>
      </c>
      <c r="E42" s="3">
        <v>5018640</v>
      </c>
      <c r="F42" s="3">
        <v>4554780</v>
      </c>
      <c r="G42" s="3">
        <v>3945672</v>
      </c>
      <c r="H42" s="3">
        <v>7118868</v>
      </c>
      <c r="I42" s="3">
        <v>7118868</v>
      </c>
      <c r="J42" s="3">
        <v>7118868</v>
      </c>
    </row>
    <row r="43" spans="1:10" x14ac:dyDescent="0.25">
      <c r="A43" t="str">
        <f>VLOOKUP(C43,'[1]Agency Dict'!C$2:F$42,4,0)</f>
        <v>Public Safety</v>
      </c>
      <c r="B43" t="str">
        <f>VLOOKUP(C43,'[1]Agency Dict'!C$2:E$42,3,0)</f>
        <v>CPD</v>
      </c>
      <c r="C43" s="2" t="s">
        <v>12</v>
      </c>
      <c r="D43" t="s">
        <v>3</v>
      </c>
      <c r="E43" s="3">
        <v>788461</v>
      </c>
      <c r="F43" s="3">
        <v>796318</v>
      </c>
      <c r="G43" s="3">
        <v>796352</v>
      </c>
      <c r="H43" s="3">
        <v>185424.6</v>
      </c>
      <c r="I43" s="3">
        <v>932034</v>
      </c>
      <c r="J43" s="3">
        <v>954324</v>
      </c>
    </row>
    <row r="44" spans="1:10" x14ac:dyDescent="0.25">
      <c r="A44" t="str">
        <f>VLOOKUP(C44,'[1]Agency Dict'!C$2:F$42,4,0)</f>
        <v>Public Safety</v>
      </c>
      <c r="B44" t="str">
        <f>VLOOKUP(C44,'[1]Agency Dict'!C$2:E$42,3,0)</f>
        <v>CPD</v>
      </c>
      <c r="C44" s="4" t="s">
        <v>12</v>
      </c>
      <c r="D44" t="s">
        <v>5</v>
      </c>
      <c r="E44" s="3">
        <v>518504</v>
      </c>
      <c r="F44" s="3">
        <v>584548</v>
      </c>
      <c r="G44" s="3">
        <v>604429</v>
      </c>
      <c r="H44" s="3">
        <v>68123.400000000009</v>
      </c>
      <c r="I44" s="3">
        <v>959045</v>
      </c>
      <c r="J44" s="3">
        <v>1026545</v>
      </c>
    </row>
    <row r="45" spans="1:10" x14ac:dyDescent="0.25">
      <c r="A45" t="str">
        <f>VLOOKUP(C45,'[1]Agency Dict'!C$2:F$42,4,0)</f>
        <v>Community Services</v>
      </c>
      <c r="B45" t="str">
        <f>VLOOKUP(C45,'[1]Agency Dict'!C$2:E$42,3,0)</f>
        <v>DFSS</v>
      </c>
      <c r="C45" s="2" t="s">
        <v>13</v>
      </c>
      <c r="D45" t="s">
        <v>4</v>
      </c>
      <c r="E45" s="3">
        <v>16048778.25</v>
      </c>
      <c r="F45" s="3">
        <v>4489829.5</v>
      </c>
      <c r="G45" s="3">
        <v>9687877.5</v>
      </c>
      <c r="H45" s="3">
        <v>7935153.3000000007</v>
      </c>
      <c r="I45" s="3">
        <v>16547232.5</v>
      </c>
      <c r="J45" s="3">
        <v>15265137.75</v>
      </c>
    </row>
    <row r="46" spans="1:10" x14ac:dyDescent="0.25">
      <c r="A46" t="str">
        <f>VLOOKUP(C46,'[1]Agency Dict'!C$2:F$42,4,0)</f>
        <v>Community Services</v>
      </c>
      <c r="B46" t="str">
        <f>VLOOKUP(C46,'[1]Agency Dict'!C$2:E$42,3,0)</f>
        <v>DFSS</v>
      </c>
      <c r="C46" s="2" t="s">
        <v>13</v>
      </c>
      <c r="D46" t="s">
        <v>8</v>
      </c>
      <c r="E46" s="3">
        <v>953730</v>
      </c>
      <c r="F46" s="3">
        <v>1069216</v>
      </c>
      <c r="G46" s="3">
        <v>1009040</v>
      </c>
      <c r="H46" s="3">
        <v>1146982</v>
      </c>
      <c r="I46" s="3">
        <v>1146982</v>
      </c>
      <c r="J46" s="3">
        <v>1146982</v>
      </c>
    </row>
    <row r="47" spans="1:10" x14ac:dyDescent="0.25">
      <c r="A47" t="str">
        <f>VLOOKUP(C47,'[1]Agency Dict'!C$2:F$42,4,0)</f>
        <v>Community Services</v>
      </c>
      <c r="B47" t="str">
        <f>VLOOKUP(C47,'[1]Agency Dict'!C$2:E$42,3,0)</f>
        <v>DFSS</v>
      </c>
      <c r="C47" s="2" t="s">
        <v>13</v>
      </c>
      <c r="D47" t="s">
        <v>3</v>
      </c>
      <c r="E47" s="3">
        <v>540014</v>
      </c>
      <c r="F47" s="3">
        <v>441529</v>
      </c>
      <c r="G47" s="3">
        <v>542729</v>
      </c>
      <c r="H47" s="3">
        <v>134745.79999999999</v>
      </c>
      <c r="I47" s="3">
        <v>538729</v>
      </c>
      <c r="J47" s="3">
        <v>613014</v>
      </c>
    </row>
    <row r="48" spans="1:10" x14ac:dyDescent="0.25">
      <c r="A48" t="str">
        <f>VLOOKUP(C48,'[1]Agency Dict'!C$2:F$42,4,0)</f>
        <v>Community Services</v>
      </c>
      <c r="B48" t="str">
        <f>VLOOKUP(C48,'[1]Agency Dict'!C$2:E$42,3,0)</f>
        <v>DFSS</v>
      </c>
      <c r="C48" s="2" t="s">
        <v>13</v>
      </c>
      <c r="D48" t="s">
        <v>5</v>
      </c>
      <c r="E48" s="3">
        <v>14700</v>
      </c>
      <c r="F48" s="3">
        <v>14700</v>
      </c>
      <c r="G48" s="3">
        <v>25000</v>
      </c>
      <c r="H48" s="3">
        <v>5000</v>
      </c>
      <c r="I48" s="3">
        <v>11800</v>
      </c>
      <c r="J48" s="3">
        <v>1931088</v>
      </c>
    </row>
    <row r="49" spans="1:10" x14ac:dyDescent="0.25">
      <c r="A49" t="str">
        <f>VLOOKUP(C49,'[1]Agency Dict'!C$2:F$42,4,0)</f>
        <v>Community Services</v>
      </c>
      <c r="B49" t="str">
        <f>VLOOKUP(C49,'[1]Agency Dict'!C$2:E$42,3,0)</f>
        <v>DFSS</v>
      </c>
      <c r="C49" s="4" t="s">
        <v>13</v>
      </c>
      <c r="D49" t="s">
        <v>6</v>
      </c>
      <c r="E49" s="3">
        <v>71508</v>
      </c>
      <c r="F49" s="3">
        <v>72290</v>
      </c>
      <c r="G49" s="3">
        <v>16000</v>
      </c>
      <c r="H49" s="3">
        <v>3200</v>
      </c>
      <c r="I49" s="3"/>
      <c r="J49" s="3">
        <v>30000</v>
      </c>
    </row>
    <row r="50" spans="1:10" x14ac:dyDescent="0.25">
      <c r="A50" t="str">
        <f>VLOOKUP(C50,'[1]Agency Dict'!C$2:F$42,4,0)</f>
        <v>Infrastructure Services</v>
      </c>
      <c r="B50" t="str">
        <f>VLOOKUP(C50,'[1]Agency Dict'!C$2:E$42,3,0)</f>
        <v>DSS</v>
      </c>
      <c r="C50" s="2" t="s">
        <v>14</v>
      </c>
      <c r="D50" t="s">
        <v>4</v>
      </c>
      <c r="E50" s="3">
        <v>9670350.25</v>
      </c>
      <c r="F50" s="3">
        <v>11118111</v>
      </c>
      <c r="G50" s="3">
        <v>11430847.25</v>
      </c>
      <c r="H50" s="3">
        <v>12714431.75</v>
      </c>
      <c r="I50" s="3">
        <v>11894768.5</v>
      </c>
      <c r="J50" s="3">
        <v>10642836.25</v>
      </c>
    </row>
    <row r="51" spans="1:10" x14ac:dyDescent="0.25">
      <c r="A51" t="str">
        <f>VLOOKUP(C51,'[1]Agency Dict'!C$2:F$42,4,0)</f>
        <v>Infrastructure Services</v>
      </c>
      <c r="B51" t="str">
        <f>VLOOKUP(C51,'[1]Agency Dict'!C$2:E$42,3,0)</f>
        <v>DSS</v>
      </c>
      <c r="C51" s="2" t="s">
        <v>14</v>
      </c>
      <c r="D51" t="s">
        <v>8</v>
      </c>
      <c r="E51" s="3">
        <v>467016</v>
      </c>
      <c r="F51" s="3">
        <v>450348</v>
      </c>
      <c r="G51" s="3">
        <v>463368</v>
      </c>
      <c r="H51" s="3">
        <v>520980</v>
      </c>
      <c r="I51" s="3">
        <v>520980</v>
      </c>
      <c r="J51" s="3">
        <v>520980</v>
      </c>
    </row>
    <row r="52" spans="1:10" x14ac:dyDescent="0.25">
      <c r="A52" t="str">
        <f>VLOOKUP(C52,'[1]Agency Dict'!C$2:F$42,4,0)</f>
        <v>Infrastructure Services</v>
      </c>
      <c r="B52" t="str">
        <f>VLOOKUP(C52,'[1]Agency Dict'!C$2:E$42,3,0)</f>
        <v>DSS</v>
      </c>
      <c r="C52" s="2" t="s">
        <v>14</v>
      </c>
      <c r="D52" t="s">
        <v>3</v>
      </c>
      <c r="E52" s="3">
        <v>1137459</v>
      </c>
      <c r="F52" s="3">
        <v>51250</v>
      </c>
      <c r="G52" s="3">
        <v>202030</v>
      </c>
      <c r="H52" s="3">
        <v>357877</v>
      </c>
      <c r="I52" s="3">
        <v>359136</v>
      </c>
      <c r="J52" s="3">
        <v>347324</v>
      </c>
    </row>
    <row r="53" spans="1:10" x14ac:dyDescent="0.25">
      <c r="A53" t="str">
        <f>VLOOKUP(C53,'[1]Agency Dict'!C$2:F$42,4,0)</f>
        <v>Infrastructure Services</v>
      </c>
      <c r="B53" t="str">
        <f>VLOOKUP(C53,'[1]Agency Dict'!C$2:E$42,3,0)</f>
        <v>DSS</v>
      </c>
      <c r="C53" s="2" t="s">
        <v>14</v>
      </c>
      <c r="D53" t="s">
        <v>6</v>
      </c>
      <c r="E53" s="3">
        <v>66069</v>
      </c>
      <c r="F53" s="3">
        <v>9000</v>
      </c>
      <c r="G53" s="3">
        <v>9000</v>
      </c>
      <c r="H53" s="3">
        <v>39379</v>
      </c>
      <c r="I53" s="3">
        <v>39379</v>
      </c>
      <c r="J53" s="3">
        <v>37016</v>
      </c>
    </row>
    <row r="54" spans="1:10" x14ac:dyDescent="0.25">
      <c r="A54" t="str">
        <f>VLOOKUP(C54,'[1]Agency Dict'!C$2:F$42,4,0)</f>
        <v>Infrastructure Services</v>
      </c>
      <c r="B54" t="str">
        <f>VLOOKUP(C54,'[1]Agency Dict'!C$2:E$42,3,0)</f>
        <v>DSS</v>
      </c>
      <c r="C54" s="4" t="s">
        <v>14</v>
      </c>
      <c r="D54" t="s">
        <v>5</v>
      </c>
      <c r="E54" s="3"/>
      <c r="F54" s="3"/>
      <c r="G54" s="3">
        <v>10000</v>
      </c>
      <c r="H54" s="3">
        <v>10000</v>
      </c>
      <c r="I54" s="3">
        <v>10000</v>
      </c>
      <c r="J54" s="3">
        <v>10000</v>
      </c>
    </row>
    <row r="55" spans="1:10" x14ac:dyDescent="0.25">
      <c r="A55" t="str">
        <f>VLOOKUP(C55,'[1]Agency Dict'!C$2:F$42,4,0)</f>
        <v>Public Safety</v>
      </c>
      <c r="B55" t="str">
        <f>VLOOKUP(C55,'[1]Agency Dict'!C$2:E$42,3,0)</f>
        <v>CFD</v>
      </c>
      <c r="C55" s="2" t="s">
        <v>15</v>
      </c>
      <c r="D55" t="s">
        <v>4</v>
      </c>
      <c r="E55" s="3">
        <v>10635732.25</v>
      </c>
      <c r="F55" s="3">
        <v>15271108.25</v>
      </c>
      <c r="G55" s="3">
        <v>16561897.25</v>
      </c>
      <c r="H55" s="3">
        <v>19722767.25</v>
      </c>
      <c r="I55" s="3">
        <v>5054856.25</v>
      </c>
      <c r="J55" s="3">
        <v>4486639.5</v>
      </c>
    </row>
    <row r="56" spans="1:10" x14ac:dyDescent="0.25">
      <c r="A56" t="str">
        <f>VLOOKUP(C56,'[1]Agency Dict'!C$2:F$42,4,0)</f>
        <v>Public Safety</v>
      </c>
      <c r="B56" t="str">
        <f>VLOOKUP(C56,'[1]Agency Dict'!C$2:E$42,3,0)</f>
        <v>CFD</v>
      </c>
      <c r="C56" s="2" t="s">
        <v>15</v>
      </c>
      <c r="D56" t="s">
        <v>8</v>
      </c>
      <c r="E56" s="3">
        <v>69468</v>
      </c>
      <c r="F56" s="3">
        <v>70860</v>
      </c>
      <c r="G56" s="3">
        <v>70860</v>
      </c>
      <c r="H56" s="3">
        <v>77424</v>
      </c>
      <c r="I56" s="3">
        <v>77424</v>
      </c>
      <c r="J56" s="3">
        <v>77424</v>
      </c>
    </row>
    <row r="57" spans="1:10" x14ac:dyDescent="0.25">
      <c r="A57" t="str">
        <f>VLOOKUP(C57,'[1]Agency Dict'!C$2:F$42,4,0)</f>
        <v>Public Safety</v>
      </c>
      <c r="B57" t="str">
        <f>VLOOKUP(C57,'[1]Agency Dict'!C$2:E$42,3,0)</f>
        <v>CFD</v>
      </c>
      <c r="C57" s="4" t="s">
        <v>15</v>
      </c>
      <c r="D57" t="s">
        <v>3</v>
      </c>
      <c r="E57" s="3">
        <v>223500</v>
      </c>
      <c r="F57" s="3">
        <v>177620</v>
      </c>
      <c r="G57" s="3">
        <v>4000</v>
      </c>
      <c r="H57" s="3">
        <v>4000</v>
      </c>
      <c r="I57" s="3"/>
      <c r="J57" s="3"/>
    </row>
    <row r="58" spans="1:10" x14ac:dyDescent="0.25">
      <c r="A58" t="str">
        <f>VLOOKUP(C58,'[1]Agency Dict'!C$2:F$42,4,0)</f>
        <v>Infrastructure Services</v>
      </c>
      <c r="B58" t="str">
        <f>VLOOKUP(C58,'[1]Agency Dict'!C$2:E$42,3,0)</f>
        <v>DWM</v>
      </c>
      <c r="C58" t="s">
        <v>44</v>
      </c>
      <c r="D58" t="s">
        <v>4</v>
      </c>
      <c r="E58" s="3">
        <v>8614900.75</v>
      </c>
      <c r="F58" s="3">
        <v>10559900.75</v>
      </c>
      <c r="G58" s="3">
        <v>9797900.75</v>
      </c>
      <c r="H58" s="3">
        <v>4563313.25</v>
      </c>
      <c r="I58" s="3">
        <v>5902107.5</v>
      </c>
      <c r="J58" s="3">
        <v>14711107.5</v>
      </c>
    </row>
    <row r="59" spans="1:10" x14ac:dyDescent="0.25">
      <c r="A59" t="str">
        <f>VLOOKUP(C59,'[1]Agency Dict'!C$2:F$42,4,0)</f>
        <v>Infrastructure Services</v>
      </c>
      <c r="B59" t="str">
        <f>VLOOKUP(C59,'[1]Agency Dict'!C$2:E$42,3,0)</f>
        <v>DWM</v>
      </c>
      <c r="C59" t="s">
        <v>44</v>
      </c>
      <c r="D59" t="s">
        <v>8</v>
      </c>
      <c r="E59" s="3">
        <v>564372</v>
      </c>
      <c r="F59" s="3">
        <v>626700</v>
      </c>
      <c r="G59" s="3">
        <v>708108</v>
      </c>
      <c r="H59" s="3">
        <v>746484</v>
      </c>
      <c r="I59" s="3">
        <v>746484</v>
      </c>
      <c r="J59" s="3">
        <v>746484</v>
      </c>
    </row>
    <row r="60" spans="1:10" x14ac:dyDescent="0.25">
      <c r="A60" t="str">
        <f>VLOOKUP(C60,'[1]Agency Dict'!C$2:F$42,4,0)</f>
        <v>Infrastructure Services</v>
      </c>
      <c r="B60" t="str">
        <f>VLOOKUP(C60,'[1]Agency Dict'!C$2:E$42,3,0)</f>
        <v>DWM</v>
      </c>
      <c r="C60" t="s">
        <v>44</v>
      </c>
      <c r="D60" t="s">
        <v>6</v>
      </c>
      <c r="E60" s="3">
        <v>997976</v>
      </c>
      <c r="F60" s="3">
        <v>388596</v>
      </c>
      <c r="G60" s="3">
        <v>518596</v>
      </c>
      <c r="H60" s="3">
        <v>358096</v>
      </c>
      <c r="I60" s="3">
        <v>385380</v>
      </c>
      <c r="J60" s="3">
        <v>385880</v>
      </c>
    </row>
    <row r="61" spans="1:10" x14ac:dyDescent="0.25">
      <c r="A61" t="str">
        <f>VLOOKUP(C61,'[1]Agency Dict'!C$2:F$42,4,0)</f>
        <v>Infrastructure Services</v>
      </c>
      <c r="B61" t="str">
        <f>VLOOKUP(C61,'[1]Agency Dict'!C$2:E$42,3,0)</f>
        <v>DWM</v>
      </c>
      <c r="C61" t="s">
        <v>44</v>
      </c>
      <c r="D61" t="s">
        <v>3</v>
      </c>
      <c r="E61" s="3">
        <v>833845</v>
      </c>
      <c r="F61" s="3">
        <v>170824</v>
      </c>
      <c r="G61" s="3">
        <v>170824</v>
      </c>
      <c r="H61" s="3">
        <v>324324</v>
      </c>
      <c r="I61" s="3">
        <v>385424</v>
      </c>
      <c r="J61" s="3">
        <v>391424</v>
      </c>
    </row>
    <row r="62" spans="1:10" x14ac:dyDescent="0.25">
      <c r="A62" t="str">
        <f>VLOOKUP(C62,'[1]Agency Dict'!C$2:F$42,4,0)</f>
        <v>Infrastructure Services</v>
      </c>
      <c r="B62" t="str">
        <f>VLOOKUP(C62,'[1]Agency Dict'!C$2:E$42,3,0)</f>
        <v>DWM</v>
      </c>
      <c r="C62" t="s">
        <v>44</v>
      </c>
      <c r="D62" t="s">
        <v>5</v>
      </c>
      <c r="E62" s="3">
        <v>86426</v>
      </c>
      <c r="F62" s="3">
        <v>86426</v>
      </c>
      <c r="G62" s="3">
        <v>86426</v>
      </c>
      <c r="H62" s="3">
        <v>125919</v>
      </c>
      <c r="I62" s="3">
        <v>125919</v>
      </c>
      <c r="J62" s="3">
        <v>125919</v>
      </c>
    </row>
    <row r="63" spans="1:10" x14ac:dyDescent="0.25">
      <c r="A63" t="str">
        <f>VLOOKUP(C63,'[1]Agency Dict'!C$2:F$42,4,0)</f>
        <v>Legislative and Election</v>
      </c>
      <c r="B63" t="str">
        <f>VLOOKUP(C63,'[1]Agency Dict'!C$2:E$42,3,0)</f>
        <v>ELECTIONS</v>
      </c>
      <c r="C63" s="2" t="s">
        <v>16</v>
      </c>
      <c r="D63" t="s">
        <v>3</v>
      </c>
      <c r="E63" s="3">
        <v>3024076</v>
      </c>
      <c r="F63" s="3">
        <v>5059226</v>
      </c>
      <c r="G63" s="3">
        <v>7291199</v>
      </c>
      <c r="H63" s="3">
        <v>8442264</v>
      </c>
      <c r="I63" s="3">
        <v>5616394</v>
      </c>
      <c r="J63" s="3">
        <v>5636617</v>
      </c>
    </row>
    <row r="64" spans="1:10" x14ac:dyDescent="0.25">
      <c r="A64" t="str">
        <f>VLOOKUP(C64,'[1]Agency Dict'!C$2:F$42,4,0)</f>
        <v>Legislative and Election</v>
      </c>
      <c r="B64" t="str">
        <f>VLOOKUP(C64,'[1]Agency Dict'!C$2:E$42,3,0)</f>
        <v>ELECTIONS</v>
      </c>
      <c r="C64" s="2" t="s">
        <v>16</v>
      </c>
      <c r="D64" t="s">
        <v>5</v>
      </c>
      <c r="E64" s="3">
        <v>952821</v>
      </c>
      <c r="F64" s="3">
        <v>1303453</v>
      </c>
      <c r="G64" s="3">
        <v>2456461</v>
      </c>
      <c r="H64" s="3">
        <v>2345145</v>
      </c>
      <c r="I64" s="3">
        <v>2259290</v>
      </c>
      <c r="J64" s="3">
        <v>1935787</v>
      </c>
    </row>
    <row r="65" spans="1:10" x14ac:dyDescent="0.25">
      <c r="A65" t="str">
        <f>VLOOKUP(C65,'[1]Agency Dict'!C$2:F$42,4,0)</f>
        <v>Legislative and Election</v>
      </c>
      <c r="B65" t="str">
        <f>VLOOKUP(C65,'[1]Agency Dict'!C$2:E$42,3,0)</f>
        <v>ELECTIONS</v>
      </c>
      <c r="C65" s="2" t="s">
        <v>16</v>
      </c>
      <c r="D65" t="s">
        <v>4</v>
      </c>
      <c r="E65" s="3">
        <v>1578777.5</v>
      </c>
      <c r="F65" s="3">
        <v>231004</v>
      </c>
      <c r="G65" s="3">
        <v>2452061</v>
      </c>
      <c r="H65" s="3">
        <v>1426181.5</v>
      </c>
      <c r="I65" s="3">
        <v>1408399</v>
      </c>
      <c r="J65" s="3">
        <v>684193.75</v>
      </c>
    </row>
    <row r="66" spans="1:10" x14ac:dyDescent="0.25">
      <c r="A66" t="str">
        <f>VLOOKUP(C66,'[1]Agency Dict'!C$2:F$42,4,0)</f>
        <v>Legislative and Election</v>
      </c>
      <c r="B66" t="str">
        <f>VLOOKUP(C66,'[1]Agency Dict'!C$2:E$42,3,0)</f>
        <v>ELECTIONS</v>
      </c>
      <c r="C66" s="4" t="s">
        <v>16</v>
      </c>
      <c r="D66" t="s">
        <v>8</v>
      </c>
      <c r="E66" s="3">
        <v>118572</v>
      </c>
      <c r="F66" s="3">
        <v>121536</v>
      </c>
      <c r="G66" s="3">
        <v>125100</v>
      </c>
      <c r="H66" s="3">
        <v>179993</v>
      </c>
      <c r="I66" s="3">
        <v>179993</v>
      </c>
      <c r="J66" s="3">
        <v>179993</v>
      </c>
    </row>
    <row r="67" spans="1:10" x14ac:dyDescent="0.25">
      <c r="A67" t="str">
        <f>VLOOKUP(C67,'[1]Agency Dict'!C$2:F$42,4,0)</f>
        <v>City Development</v>
      </c>
      <c r="B67" t="str">
        <f>VLOOKUP(C67,'[1]Agency Dict'!C$2:E$42,3,0)</f>
        <v>DPD</v>
      </c>
      <c r="C67" s="2" t="s">
        <v>17</v>
      </c>
      <c r="D67" t="s">
        <v>4</v>
      </c>
      <c r="E67" s="3">
        <v>4247666.75</v>
      </c>
      <c r="F67" s="3">
        <v>3090569.75</v>
      </c>
      <c r="G67" s="3">
        <v>13402677.5</v>
      </c>
      <c r="H67" s="3">
        <v>3563063.75</v>
      </c>
      <c r="I67" s="3">
        <v>1529975.25</v>
      </c>
      <c r="J67" s="3">
        <v>2345576.5</v>
      </c>
    </row>
    <row r="68" spans="1:10" x14ac:dyDescent="0.25">
      <c r="A68" t="str">
        <f>VLOOKUP(C68,'[1]Agency Dict'!C$2:F$42,4,0)</f>
        <v>City Development</v>
      </c>
      <c r="B68" t="str">
        <f>VLOOKUP(C68,'[1]Agency Dict'!C$2:E$42,3,0)</f>
        <v>DPD</v>
      </c>
      <c r="C68" s="2" t="s">
        <v>17</v>
      </c>
      <c r="D68" t="s">
        <v>3</v>
      </c>
      <c r="E68" s="3">
        <v>625930</v>
      </c>
      <c r="F68" s="3">
        <v>630680</v>
      </c>
      <c r="G68" s="3">
        <v>1555000</v>
      </c>
      <c r="H68" s="3">
        <v>1650000</v>
      </c>
      <c r="I68" s="3">
        <v>1598000</v>
      </c>
      <c r="J68" s="3">
        <v>1653000</v>
      </c>
    </row>
    <row r="69" spans="1:10" x14ac:dyDescent="0.25">
      <c r="A69" t="str">
        <f>VLOOKUP(C69,'[1]Agency Dict'!C$2:F$42,4,0)</f>
        <v>City Development</v>
      </c>
      <c r="B69" t="str">
        <f>VLOOKUP(C69,'[1]Agency Dict'!C$2:E$42,3,0)</f>
        <v>DPD</v>
      </c>
      <c r="C69" s="2" t="s">
        <v>17</v>
      </c>
      <c r="D69" t="s">
        <v>8</v>
      </c>
      <c r="E69" s="3">
        <v>292404</v>
      </c>
      <c r="F69" s="3">
        <v>371964</v>
      </c>
      <c r="G69" s="3">
        <v>374580</v>
      </c>
      <c r="H69" s="3">
        <v>590160</v>
      </c>
      <c r="I69" s="3">
        <v>590160</v>
      </c>
      <c r="J69" s="3">
        <v>590160</v>
      </c>
    </row>
    <row r="70" spans="1:10" x14ac:dyDescent="0.25">
      <c r="A70" t="str">
        <f>VLOOKUP(C70,'[1]Agency Dict'!C$2:F$42,4,0)</f>
        <v>City Development</v>
      </c>
      <c r="B70" t="str">
        <f>VLOOKUP(C70,'[1]Agency Dict'!C$2:E$42,3,0)</f>
        <v>DPD</v>
      </c>
      <c r="C70" s="2" t="s">
        <v>17</v>
      </c>
      <c r="D70" t="s">
        <v>5</v>
      </c>
      <c r="E70" s="3">
        <v>267649</v>
      </c>
      <c r="F70" s="3">
        <v>264249</v>
      </c>
      <c r="G70" s="3">
        <v>206229</v>
      </c>
      <c r="H70" s="3">
        <v>128161</v>
      </c>
      <c r="I70" s="3">
        <v>198299</v>
      </c>
      <c r="J70" s="3">
        <v>204098</v>
      </c>
    </row>
    <row r="71" spans="1:10" x14ac:dyDescent="0.25">
      <c r="A71" t="str">
        <f>VLOOKUP(C71,'[1]Agency Dict'!C$2:F$42,4,0)</f>
        <v>City Development</v>
      </c>
      <c r="B71" t="str">
        <f>VLOOKUP(C71,'[1]Agency Dict'!C$2:E$42,3,0)</f>
        <v>DPD</v>
      </c>
      <c r="C71" s="4" t="s">
        <v>17</v>
      </c>
      <c r="D71" t="s">
        <v>6</v>
      </c>
      <c r="E71" s="3">
        <v>43670</v>
      </c>
      <c r="F71" s="3">
        <v>66200</v>
      </c>
      <c r="G71" s="3">
        <v>235376</v>
      </c>
      <c r="H71" s="3">
        <v>81071</v>
      </c>
      <c r="I71" s="3">
        <v>62376</v>
      </c>
      <c r="J71" s="3">
        <v>62376</v>
      </c>
    </row>
    <row r="72" spans="1:10" x14ac:dyDescent="0.25">
      <c r="A72" t="str">
        <f>VLOOKUP(C72,'[1]Agency Dict'!C$2:F$42,4,0)</f>
        <v>Public Safety</v>
      </c>
      <c r="B72" t="str">
        <f>VLOOKUP(C72,'[1]Agency Dict'!C$2:E$42,3,0)</f>
        <v>OEMC</v>
      </c>
      <c r="C72" s="2" t="s">
        <v>18</v>
      </c>
      <c r="D72" t="s">
        <v>4</v>
      </c>
      <c r="E72" s="3">
        <v>10188623</v>
      </c>
      <c r="F72" s="3">
        <v>8245373.25</v>
      </c>
      <c r="G72" s="3">
        <v>7619239.5</v>
      </c>
      <c r="H72" s="3">
        <v>7264203.5</v>
      </c>
      <c r="I72" s="3">
        <v>1737127</v>
      </c>
      <c r="J72" s="3">
        <v>1319127</v>
      </c>
    </row>
    <row r="73" spans="1:10" x14ac:dyDescent="0.25">
      <c r="A73" t="str">
        <f>VLOOKUP(C73,'[1]Agency Dict'!C$2:F$42,4,0)</f>
        <v>Public Safety</v>
      </c>
      <c r="B73" t="str">
        <f>VLOOKUP(C73,'[1]Agency Dict'!C$2:E$42,3,0)</f>
        <v>OEMC</v>
      </c>
      <c r="C73" s="2" t="s">
        <v>18</v>
      </c>
      <c r="D73" t="s">
        <v>3</v>
      </c>
      <c r="E73" s="3">
        <v>186000</v>
      </c>
      <c r="F73" s="3">
        <v>95000</v>
      </c>
      <c r="G73" s="3">
        <v>95000</v>
      </c>
      <c r="H73" s="3">
        <v>95000</v>
      </c>
      <c r="I73" s="3">
        <v>95000</v>
      </c>
      <c r="J73" s="3">
        <v>95000</v>
      </c>
    </row>
    <row r="74" spans="1:10" x14ac:dyDescent="0.25">
      <c r="A74" t="str">
        <f>VLOOKUP(C74,'[1]Agency Dict'!C$2:F$42,4,0)</f>
        <v>Public Safety</v>
      </c>
      <c r="B74" t="str">
        <f>VLOOKUP(C74,'[1]Agency Dict'!C$2:E$42,3,0)</f>
        <v>OEMC</v>
      </c>
      <c r="C74" s="4" t="s">
        <v>18</v>
      </c>
      <c r="D74" t="s">
        <v>8</v>
      </c>
      <c r="E74" s="3">
        <v>64704</v>
      </c>
      <c r="F74" s="3">
        <v>67944</v>
      </c>
      <c r="G74" s="3">
        <v>71280</v>
      </c>
      <c r="H74" s="3">
        <v>77892</v>
      </c>
      <c r="I74" s="3">
        <v>77892</v>
      </c>
      <c r="J74" s="3">
        <v>77892</v>
      </c>
    </row>
    <row r="75" spans="1:10" x14ac:dyDescent="0.25">
      <c r="A75" t="str">
        <f>VLOOKUP(C75,'[1]Agency Dict'!C$2:F$42,4,0)</f>
        <v>Community Services</v>
      </c>
      <c r="B75" t="str">
        <f>VLOOKUP(C75,'[1]Agency Dict'!C$2:E$42,3,0)</f>
        <v>CPL</v>
      </c>
      <c r="C75" s="2" t="s">
        <v>19</v>
      </c>
      <c r="D75" t="s">
        <v>8</v>
      </c>
      <c r="E75" s="3">
        <v>1051224</v>
      </c>
      <c r="F75" s="3">
        <v>1112208</v>
      </c>
      <c r="G75" s="3">
        <v>2265768</v>
      </c>
      <c r="H75" s="3">
        <v>2415336</v>
      </c>
      <c r="I75" s="3">
        <v>2415336</v>
      </c>
      <c r="J75" s="3">
        <v>2415336</v>
      </c>
    </row>
    <row r="76" spans="1:10" x14ac:dyDescent="0.25">
      <c r="A76" t="str">
        <f>VLOOKUP(C76,'[1]Agency Dict'!C$2:F$42,4,0)</f>
        <v>Community Services</v>
      </c>
      <c r="B76" t="str">
        <f>VLOOKUP(C76,'[1]Agency Dict'!C$2:E$42,3,0)</f>
        <v>CPL</v>
      </c>
      <c r="C76" s="2" t="s">
        <v>19</v>
      </c>
      <c r="D76" t="s">
        <v>5</v>
      </c>
      <c r="E76" s="3">
        <v>1631017</v>
      </c>
      <c r="F76" s="3">
        <v>1897079</v>
      </c>
      <c r="G76" s="3">
        <v>1897079</v>
      </c>
      <c r="H76" s="3">
        <v>1897079</v>
      </c>
      <c r="I76" s="3">
        <v>1797079</v>
      </c>
      <c r="J76" s="3">
        <v>1797079</v>
      </c>
    </row>
    <row r="77" spans="1:10" x14ac:dyDescent="0.25">
      <c r="A77" t="str">
        <f>VLOOKUP(C77,'[1]Agency Dict'!C$2:F$42,4,0)</f>
        <v>Community Services</v>
      </c>
      <c r="B77" t="str">
        <f>VLOOKUP(C77,'[1]Agency Dict'!C$2:E$42,3,0)</f>
        <v>CPL</v>
      </c>
      <c r="C77" s="2" t="s">
        <v>19</v>
      </c>
      <c r="D77" t="s">
        <v>6</v>
      </c>
      <c r="E77" s="3">
        <v>1424967</v>
      </c>
      <c r="F77" s="3">
        <v>1320857</v>
      </c>
      <c r="G77" s="3">
        <v>1320857</v>
      </c>
      <c r="H77" s="3">
        <v>1320857</v>
      </c>
      <c r="I77" s="3">
        <v>1320857</v>
      </c>
      <c r="J77" s="3">
        <v>1320857</v>
      </c>
    </row>
    <row r="78" spans="1:10" x14ac:dyDescent="0.25">
      <c r="A78" t="str">
        <f>VLOOKUP(C78,'[1]Agency Dict'!C$2:F$42,4,0)</f>
        <v>Community Services</v>
      </c>
      <c r="B78" t="str">
        <f>VLOOKUP(C78,'[1]Agency Dict'!C$2:E$42,3,0)</f>
        <v>CPL</v>
      </c>
      <c r="C78" s="2" t="s">
        <v>19</v>
      </c>
      <c r="D78" t="s">
        <v>4</v>
      </c>
      <c r="E78" s="3">
        <v>128857.25</v>
      </c>
      <c r="F78" s="3">
        <v>2138107.25</v>
      </c>
      <c r="G78" s="3">
        <v>208645.25</v>
      </c>
      <c r="H78" s="3">
        <v>232145.25</v>
      </c>
      <c r="I78" s="3">
        <v>176145.25</v>
      </c>
      <c r="J78" s="3">
        <v>176145.25</v>
      </c>
    </row>
    <row r="79" spans="1:10" x14ac:dyDescent="0.25">
      <c r="A79" t="str">
        <f>VLOOKUP(C79,'[1]Agency Dict'!C$2:F$42,4,0)</f>
        <v>Community Services</v>
      </c>
      <c r="B79" t="str">
        <f>VLOOKUP(C79,'[1]Agency Dict'!C$2:E$42,3,0)</f>
        <v>CPL</v>
      </c>
      <c r="C79" s="4" t="s">
        <v>19</v>
      </c>
      <c r="D79" t="s">
        <v>3</v>
      </c>
      <c r="E79" s="3">
        <v>264213</v>
      </c>
      <c r="F79" s="3">
        <v>13813</v>
      </c>
      <c r="G79" s="3">
        <v>13813</v>
      </c>
      <c r="H79" s="3">
        <v>13813</v>
      </c>
      <c r="I79" s="3">
        <v>13813</v>
      </c>
      <c r="J79" s="3">
        <v>13813</v>
      </c>
    </row>
    <row r="80" spans="1:10" x14ac:dyDescent="0.25">
      <c r="A80" t="str">
        <f>VLOOKUP(C80,'[1]Agency Dict'!C$2:F$42,4,0)</f>
        <v>Finance and Administration</v>
      </c>
      <c r="B80" t="str">
        <f>VLOOKUP(C80,'[1]Agency Dict'!C$2:E$42,3,0)</f>
        <v>OBM</v>
      </c>
      <c r="C80" s="2" t="s">
        <v>20</v>
      </c>
      <c r="D80" t="s">
        <v>4</v>
      </c>
      <c r="E80" s="3">
        <v>6094818.8999999994</v>
      </c>
      <c r="F80" s="3">
        <v>7052358.6000000006</v>
      </c>
      <c r="G80" s="3">
        <v>4387784.5500000007</v>
      </c>
      <c r="H80" s="3">
        <v>4743605.75</v>
      </c>
      <c r="I80" s="3">
        <v>646215.25</v>
      </c>
      <c r="J80" s="3">
        <v>5230816.75</v>
      </c>
    </row>
    <row r="81" spans="1:10" x14ac:dyDescent="0.25">
      <c r="A81" t="str">
        <f>VLOOKUP(C81,'[1]Agency Dict'!C$2:F$42,4,0)</f>
        <v>Finance and Administration</v>
      </c>
      <c r="B81" t="str">
        <f>VLOOKUP(C81,'[1]Agency Dict'!C$2:E$42,3,0)</f>
        <v>OBM</v>
      </c>
      <c r="C81" s="2" t="s">
        <v>20</v>
      </c>
      <c r="D81" t="s">
        <v>8</v>
      </c>
      <c r="E81" s="3">
        <v>336540</v>
      </c>
      <c r="F81" s="3">
        <v>349560</v>
      </c>
      <c r="G81" s="3">
        <v>363972</v>
      </c>
      <c r="H81" s="3">
        <v>388668</v>
      </c>
      <c r="I81" s="3">
        <v>388668</v>
      </c>
      <c r="J81" s="3">
        <v>388668</v>
      </c>
    </row>
    <row r="82" spans="1:10" x14ac:dyDescent="0.25">
      <c r="A82" t="str">
        <f>VLOOKUP(C82,'[1]Agency Dict'!C$2:F$42,4,0)</f>
        <v>Finance and Administration</v>
      </c>
      <c r="B82" t="str">
        <f>VLOOKUP(C82,'[1]Agency Dict'!C$2:E$42,3,0)</f>
        <v>OBM</v>
      </c>
      <c r="C82" s="2" t="s">
        <v>20</v>
      </c>
      <c r="D82" t="s">
        <v>3</v>
      </c>
      <c r="E82" s="3">
        <v>3083.2</v>
      </c>
      <c r="F82" s="3">
        <v>420</v>
      </c>
      <c r="G82" s="3">
        <v>840</v>
      </c>
      <c r="H82" s="3">
        <v>4200</v>
      </c>
      <c r="I82" s="3"/>
      <c r="J82" s="3"/>
    </row>
    <row r="83" spans="1:10" x14ac:dyDescent="0.25">
      <c r="A83" t="str">
        <f>VLOOKUP(C83,'[1]Agency Dict'!C$2:F$42,4,0)</f>
        <v>Finance and Administration</v>
      </c>
      <c r="B83" t="str">
        <f>VLOOKUP(C83,'[1]Agency Dict'!C$2:E$42,3,0)</f>
        <v>OBM</v>
      </c>
      <c r="C83" s="4" t="s">
        <v>20</v>
      </c>
      <c r="D83" t="s">
        <v>6</v>
      </c>
      <c r="E83" s="3">
        <v>241.8</v>
      </c>
      <c r="F83" s="3"/>
      <c r="G83" s="3"/>
      <c r="H83" s="3">
        <v>4300</v>
      </c>
      <c r="I83" s="3"/>
      <c r="J83" s="3"/>
    </row>
    <row r="84" spans="1:10" x14ac:dyDescent="0.25">
      <c r="A84" t="str">
        <f>VLOOKUP(C84,'[1]Agency Dict'!C$2:F$42,4,0)</f>
        <v>Regulatory</v>
      </c>
      <c r="B84" t="str">
        <f>VLOOKUP(C84,'[1]Agency Dict'!C$2:E$42,3,0)</f>
        <v>OIG</v>
      </c>
      <c r="C84" s="2" t="s">
        <v>21</v>
      </c>
      <c r="D84" t="s">
        <v>8</v>
      </c>
      <c r="E84" s="3">
        <v>1272768</v>
      </c>
      <c r="F84" s="3">
        <v>1639368</v>
      </c>
      <c r="G84" s="3">
        <v>1944408</v>
      </c>
      <c r="H84" s="3">
        <v>2094408</v>
      </c>
      <c r="I84" s="3">
        <v>2094408</v>
      </c>
      <c r="J84" s="3">
        <v>2094408</v>
      </c>
    </row>
    <row r="85" spans="1:10" x14ac:dyDescent="0.25">
      <c r="A85" t="str">
        <f>VLOOKUP(C85,'[1]Agency Dict'!C$2:F$42,4,0)</f>
        <v>Regulatory</v>
      </c>
      <c r="B85" t="str">
        <f>VLOOKUP(C85,'[1]Agency Dict'!C$2:E$42,3,0)</f>
        <v>OIG</v>
      </c>
      <c r="C85" s="2" t="s">
        <v>21</v>
      </c>
      <c r="D85" t="s">
        <v>5</v>
      </c>
      <c r="E85" s="3">
        <v>515519</v>
      </c>
      <c r="F85" s="3">
        <v>1676519</v>
      </c>
      <c r="G85" s="3">
        <v>1047700</v>
      </c>
      <c r="H85" s="3">
        <v>1047700</v>
      </c>
      <c r="I85" s="3">
        <v>720466</v>
      </c>
      <c r="J85" s="3">
        <v>1024286</v>
      </c>
    </row>
    <row r="86" spans="1:10" x14ac:dyDescent="0.25">
      <c r="A86" t="str">
        <f>VLOOKUP(C86,'[1]Agency Dict'!C$2:F$42,4,0)</f>
        <v>Regulatory</v>
      </c>
      <c r="B86" t="str">
        <f>VLOOKUP(C86,'[1]Agency Dict'!C$2:E$42,3,0)</f>
        <v>OIG</v>
      </c>
      <c r="C86" s="2" t="s">
        <v>21</v>
      </c>
      <c r="D86" t="s">
        <v>6</v>
      </c>
      <c r="E86" s="3">
        <v>370361</v>
      </c>
      <c r="F86" s="3">
        <v>172361</v>
      </c>
      <c r="G86" s="3">
        <v>172361</v>
      </c>
      <c r="H86" s="3">
        <v>172361</v>
      </c>
      <c r="I86" s="3">
        <v>194920</v>
      </c>
      <c r="J86" s="3">
        <v>184920</v>
      </c>
    </row>
    <row r="87" spans="1:10" x14ac:dyDescent="0.25">
      <c r="A87" t="str">
        <f>VLOOKUP(C87,'[1]Agency Dict'!C$2:F$42,4,0)</f>
        <v>Regulatory</v>
      </c>
      <c r="B87" t="str">
        <f>VLOOKUP(C87,'[1]Agency Dict'!C$2:E$42,3,0)</f>
        <v>OIG</v>
      </c>
      <c r="C87" s="2" t="s">
        <v>21</v>
      </c>
      <c r="D87" t="s">
        <v>3</v>
      </c>
      <c r="E87" s="3">
        <v>225656</v>
      </c>
      <c r="F87" s="3">
        <v>560656</v>
      </c>
      <c r="G87" s="3">
        <v>167917</v>
      </c>
      <c r="H87" s="3">
        <v>167917</v>
      </c>
      <c r="I87" s="3">
        <v>50922</v>
      </c>
      <c r="J87" s="3">
        <v>62433</v>
      </c>
    </row>
    <row r="88" spans="1:10" x14ac:dyDescent="0.25">
      <c r="A88" t="str">
        <f>VLOOKUP(C88,'[1]Agency Dict'!C$2:F$42,4,0)</f>
        <v>Regulatory</v>
      </c>
      <c r="B88" t="str">
        <f>VLOOKUP(C88,'[1]Agency Dict'!C$2:E$42,3,0)</f>
        <v>OIG</v>
      </c>
      <c r="C88" s="4" t="s">
        <v>21</v>
      </c>
      <c r="D88" t="s">
        <v>4</v>
      </c>
      <c r="E88" s="3">
        <v>89688.25</v>
      </c>
      <c r="F88" s="3">
        <v>177986.5</v>
      </c>
      <c r="G88" s="3">
        <v>89688.25</v>
      </c>
      <c r="H88" s="3">
        <v>88438.25</v>
      </c>
      <c r="I88" s="3">
        <v>86172.75</v>
      </c>
      <c r="J88" s="3">
        <v>61172.75</v>
      </c>
    </row>
    <row r="89" spans="1:10" x14ac:dyDescent="0.25">
      <c r="A89" t="str">
        <f>VLOOKUP(C89,'[1]Agency Dict'!C$2:F$42,4,0)</f>
        <v>City Development</v>
      </c>
      <c r="B89" t="str">
        <f>VLOOKUP(C89,'[1]Agency Dict'!C$2:E$42,3,0)</f>
        <v>DOH</v>
      </c>
      <c r="C89" s="2" t="s">
        <v>22</v>
      </c>
      <c r="D89" t="s">
        <v>4</v>
      </c>
      <c r="E89" s="3">
        <v>951662.75</v>
      </c>
      <c r="F89" s="3">
        <v>2891494.25</v>
      </c>
      <c r="G89" s="3">
        <v>8741904.75</v>
      </c>
      <c r="H89" s="3">
        <v>1215704.5</v>
      </c>
      <c r="I89" s="3">
        <v>164000</v>
      </c>
      <c r="J89" s="3">
        <v>179965.5</v>
      </c>
    </row>
    <row r="90" spans="1:10" x14ac:dyDescent="0.25">
      <c r="A90" t="str">
        <f>VLOOKUP(C90,'[1]Agency Dict'!C$2:F$42,4,0)</f>
        <v>City Development</v>
      </c>
      <c r="B90" t="str">
        <f>VLOOKUP(C90,'[1]Agency Dict'!C$2:E$42,3,0)</f>
        <v>DOH</v>
      </c>
      <c r="C90" s="2" t="s">
        <v>22</v>
      </c>
      <c r="D90" t="s">
        <v>5</v>
      </c>
      <c r="E90" s="3">
        <v>157625</v>
      </c>
      <c r="F90" s="3">
        <v>1052580</v>
      </c>
      <c r="G90" s="3">
        <v>204000</v>
      </c>
      <c r="H90" s="3">
        <v>519150</v>
      </c>
      <c r="I90" s="3">
        <v>451065</v>
      </c>
      <c r="J90" s="3">
        <v>448405</v>
      </c>
    </row>
    <row r="91" spans="1:10" x14ac:dyDescent="0.25">
      <c r="A91" t="str">
        <f>VLOOKUP(C91,'[1]Agency Dict'!C$2:F$42,4,0)</f>
        <v>City Development</v>
      </c>
      <c r="B91" t="str">
        <f>VLOOKUP(C91,'[1]Agency Dict'!C$2:E$42,3,0)</f>
        <v>DOH</v>
      </c>
      <c r="C91" s="2" t="s">
        <v>22</v>
      </c>
      <c r="D91" t="s">
        <v>3</v>
      </c>
      <c r="E91" s="3">
        <v>175065</v>
      </c>
      <c r="F91" s="3">
        <v>447100</v>
      </c>
      <c r="G91" s="3">
        <v>59000</v>
      </c>
      <c r="H91" s="3">
        <v>40000</v>
      </c>
      <c r="I91" s="3">
        <v>40000</v>
      </c>
      <c r="J91" s="3">
        <v>33000</v>
      </c>
    </row>
    <row r="92" spans="1:10" x14ac:dyDescent="0.25">
      <c r="A92" t="str">
        <f>VLOOKUP(C92,'[1]Agency Dict'!C$2:F$42,4,0)</f>
        <v>City Development</v>
      </c>
      <c r="B92" t="str">
        <f>VLOOKUP(C92,'[1]Agency Dict'!C$2:E$42,3,0)</f>
        <v>DOH</v>
      </c>
      <c r="C92" s="2" t="s">
        <v>22</v>
      </c>
      <c r="D92" t="s">
        <v>8</v>
      </c>
      <c r="E92" s="3"/>
      <c r="F92" s="3">
        <v>135888</v>
      </c>
      <c r="G92" s="3">
        <v>85764</v>
      </c>
      <c r="H92" s="3">
        <v>93708</v>
      </c>
      <c r="I92" s="3">
        <v>93708</v>
      </c>
      <c r="J92" s="3">
        <v>93708</v>
      </c>
    </row>
    <row r="93" spans="1:10" x14ac:dyDescent="0.25">
      <c r="A93" t="str">
        <f>VLOOKUP(C93,'[1]Agency Dict'!C$2:F$42,4,0)</f>
        <v>City Development</v>
      </c>
      <c r="B93" t="str">
        <f>VLOOKUP(C93,'[1]Agency Dict'!C$2:E$42,3,0)</f>
        <v>DOH</v>
      </c>
      <c r="C93" s="4" t="s">
        <v>22</v>
      </c>
      <c r="D93" t="s">
        <v>6</v>
      </c>
      <c r="E93" s="3">
        <v>8950</v>
      </c>
      <c r="F93" s="3">
        <v>2500</v>
      </c>
      <c r="G93" s="3">
        <v>73400</v>
      </c>
      <c r="H93" s="3"/>
      <c r="I93" s="3"/>
      <c r="J93" s="3"/>
    </row>
    <row r="94" spans="1:10" x14ac:dyDescent="0.25">
      <c r="A94" t="str">
        <f>VLOOKUP(C94,'[1]Agency Dict'!C$2:F$42,4,0)</f>
        <v>City Development</v>
      </c>
      <c r="B94" t="str">
        <f>VLOOKUP(C94,'[1]Agency Dict'!C$2:E$42,3,0)</f>
        <v>DCASE</v>
      </c>
      <c r="C94" s="2" t="s">
        <v>23</v>
      </c>
      <c r="D94" t="s">
        <v>4</v>
      </c>
      <c r="E94" s="3">
        <v>1571150</v>
      </c>
      <c r="F94" s="3">
        <v>2366338</v>
      </c>
      <c r="G94" s="3">
        <v>2482314.75</v>
      </c>
      <c r="H94" s="3">
        <v>4949197.25</v>
      </c>
      <c r="I94" s="3">
        <v>2079897.5</v>
      </c>
      <c r="J94" s="3">
        <v>2417650</v>
      </c>
    </row>
    <row r="95" spans="1:10" x14ac:dyDescent="0.25">
      <c r="A95" t="str">
        <f>VLOOKUP(C95,'[1]Agency Dict'!C$2:F$42,4,0)</f>
        <v>City Development</v>
      </c>
      <c r="B95" t="str">
        <f>VLOOKUP(C95,'[1]Agency Dict'!C$2:E$42,3,0)</f>
        <v>DCASE</v>
      </c>
      <c r="C95" s="2" t="s">
        <v>23</v>
      </c>
      <c r="D95" t="s">
        <v>3</v>
      </c>
      <c r="E95" s="3">
        <v>168930</v>
      </c>
      <c r="F95" s="3">
        <v>111550</v>
      </c>
      <c r="G95" s="3">
        <v>193000</v>
      </c>
      <c r="H95" s="3">
        <v>193000</v>
      </c>
      <c r="I95" s="3">
        <v>212000</v>
      </c>
      <c r="J95" s="3">
        <v>232990</v>
      </c>
    </row>
    <row r="96" spans="1:10" x14ac:dyDescent="0.25">
      <c r="A96" t="str">
        <f>VLOOKUP(C96,'[1]Agency Dict'!C$2:F$42,4,0)</f>
        <v>City Development</v>
      </c>
      <c r="B96" t="str">
        <f>VLOOKUP(C96,'[1]Agency Dict'!C$2:E$42,3,0)</f>
        <v>DCASE</v>
      </c>
      <c r="C96" s="2" t="s">
        <v>23</v>
      </c>
      <c r="D96" t="s">
        <v>8</v>
      </c>
      <c r="E96" s="3">
        <v>105420</v>
      </c>
      <c r="F96" s="3">
        <v>107700</v>
      </c>
      <c r="G96" s="3">
        <v>112716</v>
      </c>
      <c r="H96" s="3">
        <v>129048</v>
      </c>
      <c r="I96" s="3">
        <v>129048</v>
      </c>
      <c r="J96" s="3">
        <v>129048</v>
      </c>
    </row>
    <row r="97" spans="1:10" x14ac:dyDescent="0.25">
      <c r="A97" t="str">
        <f>VLOOKUP(C97,'[1]Agency Dict'!C$2:F$42,4,0)</f>
        <v>City Development</v>
      </c>
      <c r="B97" t="str">
        <f>VLOOKUP(C97,'[1]Agency Dict'!C$2:E$42,3,0)</f>
        <v>DCASE</v>
      </c>
      <c r="C97" s="4" t="s">
        <v>23</v>
      </c>
      <c r="D97" t="s">
        <v>6</v>
      </c>
      <c r="E97" s="3">
        <v>53800</v>
      </c>
      <c r="F97" s="3"/>
      <c r="G97" s="3"/>
      <c r="H97" s="3"/>
      <c r="I97" s="3"/>
      <c r="J97" s="3"/>
    </row>
    <row r="98" spans="1:10" x14ac:dyDescent="0.25">
      <c r="A98" t="str">
        <f>VLOOKUP(C98,'[1]Agency Dict'!C$2:F$42,4,0)</f>
        <v>Finance and Administration</v>
      </c>
      <c r="B98" t="str">
        <f>VLOOKUP(C98,'[1]Agency Dict'!C$2:E$42,3,0)</f>
        <v>CLERK</v>
      </c>
      <c r="C98" s="2" t="s">
        <v>24</v>
      </c>
      <c r="D98" t="s">
        <v>5</v>
      </c>
      <c r="E98" s="3">
        <v>999086</v>
      </c>
      <c r="F98" s="3">
        <v>1135648</v>
      </c>
      <c r="G98" s="3">
        <v>1506774</v>
      </c>
      <c r="H98" s="3">
        <v>2836768</v>
      </c>
      <c r="I98" s="3">
        <v>2263935</v>
      </c>
      <c r="J98" s="3">
        <v>2056656</v>
      </c>
    </row>
    <row r="99" spans="1:10" x14ac:dyDescent="0.25">
      <c r="A99" t="str">
        <f>VLOOKUP(C99,'[1]Agency Dict'!C$2:F$42,4,0)</f>
        <v>Finance and Administration</v>
      </c>
      <c r="B99" t="str">
        <f>VLOOKUP(C99,'[1]Agency Dict'!C$2:E$42,3,0)</f>
        <v>CLERK</v>
      </c>
      <c r="C99" s="2" t="s">
        <v>24</v>
      </c>
      <c r="D99" t="s">
        <v>3</v>
      </c>
      <c r="E99" s="3">
        <v>189525</v>
      </c>
      <c r="F99" s="3">
        <v>368125</v>
      </c>
      <c r="G99" s="3">
        <v>369125</v>
      </c>
      <c r="H99" s="3">
        <v>569125</v>
      </c>
      <c r="I99" s="3">
        <v>565125</v>
      </c>
      <c r="J99" s="3">
        <v>565125</v>
      </c>
    </row>
    <row r="100" spans="1:10" x14ac:dyDescent="0.25">
      <c r="A100" t="str">
        <f>VLOOKUP(C100,'[1]Agency Dict'!C$2:F$42,4,0)</f>
        <v>Finance and Administration</v>
      </c>
      <c r="B100" t="str">
        <f>VLOOKUP(C100,'[1]Agency Dict'!C$2:E$42,3,0)</f>
        <v>CLERK</v>
      </c>
      <c r="C100" s="2" t="s">
        <v>24</v>
      </c>
      <c r="D100" t="s">
        <v>8</v>
      </c>
      <c r="E100" s="3">
        <v>413484</v>
      </c>
      <c r="F100" s="3">
        <v>434784</v>
      </c>
      <c r="G100" s="3">
        <v>332964</v>
      </c>
      <c r="H100" s="3">
        <v>335544</v>
      </c>
      <c r="I100" s="3">
        <v>335544</v>
      </c>
      <c r="J100" s="3">
        <v>335544</v>
      </c>
    </row>
    <row r="101" spans="1:10" x14ac:dyDescent="0.25">
      <c r="A101" t="str">
        <f>VLOOKUP(C101,'[1]Agency Dict'!C$2:F$42,4,0)</f>
        <v>Finance and Administration</v>
      </c>
      <c r="B101" t="str">
        <f>VLOOKUP(C101,'[1]Agency Dict'!C$2:E$42,3,0)</f>
        <v>CLERK</v>
      </c>
      <c r="C101" s="2" t="s">
        <v>24</v>
      </c>
      <c r="D101" t="s">
        <v>4</v>
      </c>
      <c r="E101" s="3">
        <v>144393</v>
      </c>
      <c r="F101" s="3">
        <v>192165</v>
      </c>
      <c r="G101" s="3">
        <v>147642.75</v>
      </c>
      <c r="H101" s="3">
        <v>221092.75</v>
      </c>
      <c r="I101" s="3">
        <v>329842.75</v>
      </c>
      <c r="J101" s="3">
        <v>286842.75</v>
      </c>
    </row>
    <row r="102" spans="1:10" x14ac:dyDescent="0.25">
      <c r="A102" t="str">
        <f>VLOOKUP(C102,'[1]Agency Dict'!C$2:F$42,4,0)</f>
        <v>Finance and Administration</v>
      </c>
      <c r="B102" t="str">
        <f>VLOOKUP(C102,'[1]Agency Dict'!C$2:E$42,3,0)</f>
        <v>CLERK</v>
      </c>
      <c r="C102" s="4" t="s">
        <v>24</v>
      </c>
      <c r="D102" t="s">
        <v>6</v>
      </c>
      <c r="E102" s="3">
        <v>10395</v>
      </c>
      <c r="F102" s="3"/>
      <c r="G102" s="3"/>
      <c r="H102" s="3"/>
      <c r="I102" s="3"/>
      <c r="J102" s="3"/>
    </row>
    <row r="103" spans="1:10" x14ac:dyDescent="0.25">
      <c r="A103" t="str">
        <f>VLOOKUP(C103,'[1]Agency Dict'!C$2:F$42,4,0)</f>
        <v>Finance and Administration</v>
      </c>
      <c r="B103" t="str">
        <f>VLOOKUP(C103,'[1]Agency Dict'!C$2:E$42,3,0)</f>
        <v>DOAH</v>
      </c>
      <c r="C103" s="2" t="s">
        <v>25</v>
      </c>
      <c r="D103" t="s">
        <v>3</v>
      </c>
      <c r="E103" s="3">
        <v>1090451</v>
      </c>
      <c r="F103" s="3">
        <v>1182845</v>
      </c>
      <c r="G103" s="3">
        <v>1069057</v>
      </c>
      <c r="H103" s="3">
        <v>1110490</v>
      </c>
      <c r="I103" s="3">
        <v>1176138</v>
      </c>
      <c r="J103" s="3">
        <v>1364512</v>
      </c>
    </row>
    <row r="104" spans="1:10" x14ac:dyDescent="0.25">
      <c r="A104" t="str">
        <f>VLOOKUP(C104,'[1]Agency Dict'!C$2:F$42,4,0)</f>
        <v>Finance and Administration</v>
      </c>
      <c r="B104" t="str">
        <f>VLOOKUP(C104,'[1]Agency Dict'!C$2:E$42,3,0)</f>
        <v>DOAH</v>
      </c>
      <c r="C104" s="2" t="s">
        <v>25</v>
      </c>
      <c r="D104" t="s">
        <v>4</v>
      </c>
      <c r="E104" s="3">
        <v>876117.75</v>
      </c>
      <c r="F104" s="3">
        <v>934093</v>
      </c>
      <c r="G104" s="3">
        <v>1011922</v>
      </c>
      <c r="H104" s="3">
        <v>998480.5</v>
      </c>
      <c r="I104" s="3">
        <v>938319</v>
      </c>
      <c r="J104" s="3">
        <v>838744.75</v>
      </c>
    </row>
    <row r="105" spans="1:10" x14ac:dyDescent="0.25">
      <c r="A105" t="str">
        <f>VLOOKUP(C105,'[1]Agency Dict'!C$2:F$42,4,0)</f>
        <v>Finance and Administration</v>
      </c>
      <c r="B105" t="str">
        <f>VLOOKUP(C105,'[1]Agency Dict'!C$2:E$42,3,0)</f>
        <v>DOAH</v>
      </c>
      <c r="C105" s="4" t="s">
        <v>25</v>
      </c>
      <c r="D105" t="s">
        <v>6</v>
      </c>
      <c r="E105" s="3">
        <v>1180</v>
      </c>
      <c r="F105" s="3"/>
      <c r="G105" s="3"/>
      <c r="H105" s="3"/>
      <c r="I105" s="3"/>
      <c r="J105" s="3"/>
    </row>
    <row r="106" spans="1:10" x14ac:dyDescent="0.25">
      <c r="A106" t="str">
        <f>VLOOKUP(C106,'[1]Agency Dict'!C$2:F$42,4,0)</f>
        <v>Regulatory</v>
      </c>
      <c r="B106" t="str">
        <f>VLOOKUP(C106,'[1]Agency Dict'!C$2:E$42,3,0)</f>
        <v>BACP</v>
      </c>
      <c r="C106" s="2" t="s">
        <v>26</v>
      </c>
      <c r="D106" t="s">
        <v>4</v>
      </c>
      <c r="E106" s="3">
        <v>43093.5</v>
      </c>
      <c r="F106" s="3">
        <v>544843.5</v>
      </c>
      <c r="G106" s="3">
        <v>3018093.5</v>
      </c>
      <c r="H106" s="3">
        <v>721494.5</v>
      </c>
      <c r="I106" s="3">
        <v>62500</v>
      </c>
      <c r="J106" s="3">
        <v>43468</v>
      </c>
    </row>
    <row r="107" spans="1:10" x14ac:dyDescent="0.25">
      <c r="A107" t="str">
        <f>VLOOKUP(C107,'[1]Agency Dict'!C$2:F$42,4,0)</f>
        <v>Regulatory</v>
      </c>
      <c r="B107" t="str">
        <f>VLOOKUP(C107,'[1]Agency Dict'!C$2:E$42,3,0)</f>
        <v>BACP</v>
      </c>
      <c r="C107" s="2" t="s">
        <v>26</v>
      </c>
      <c r="D107" t="s">
        <v>8</v>
      </c>
      <c r="E107" s="3">
        <v>472368</v>
      </c>
      <c r="F107" s="3">
        <v>567876</v>
      </c>
      <c r="G107" s="3">
        <v>508968</v>
      </c>
      <c r="H107" s="3">
        <v>719928</v>
      </c>
      <c r="I107" s="3">
        <v>719928</v>
      </c>
      <c r="J107" s="3">
        <v>719928</v>
      </c>
    </row>
    <row r="108" spans="1:10" x14ac:dyDescent="0.25">
      <c r="A108" t="str">
        <f>VLOOKUP(C108,'[1]Agency Dict'!C$2:F$42,4,0)</f>
        <v>Regulatory</v>
      </c>
      <c r="B108" t="str">
        <f>VLOOKUP(C108,'[1]Agency Dict'!C$2:E$42,3,0)</f>
        <v>BACP</v>
      </c>
      <c r="C108" s="2" t="s">
        <v>26</v>
      </c>
      <c r="D108" t="s">
        <v>3</v>
      </c>
      <c r="E108" s="3">
        <v>647095</v>
      </c>
      <c r="F108" s="3">
        <v>539085</v>
      </c>
      <c r="G108" s="3">
        <v>564085</v>
      </c>
      <c r="H108" s="3">
        <v>538845</v>
      </c>
      <c r="I108" s="3">
        <v>411000</v>
      </c>
      <c r="J108" s="3">
        <v>350500</v>
      </c>
    </row>
    <row r="109" spans="1:10" x14ac:dyDescent="0.25">
      <c r="A109" t="str">
        <f>VLOOKUP(C109,'[1]Agency Dict'!C$2:F$42,4,0)</f>
        <v>Regulatory</v>
      </c>
      <c r="B109" t="str">
        <f>VLOOKUP(C109,'[1]Agency Dict'!C$2:E$42,3,0)</f>
        <v>BACP</v>
      </c>
      <c r="C109" s="2" t="s">
        <v>26</v>
      </c>
      <c r="D109" t="s">
        <v>6</v>
      </c>
      <c r="E109" s="3">
        <v>176194</v>
      </c>
      <c r="F109" s="3">
        <v>140434</v>
      </c>
      <c r="G109" s="3">
        <v>140434</v>
      </c>
      <c r="H109" s="3">
        <v>140434</v>
      </c>
      <c r="I109" s="3"/>
      <c r="J109" s="3">
        <v>50000</v>
      </c>
    </row>
    <row r="110" spans="1:10" x14ac:dyDescent="0.25">
      <c r="A110" t="str">
        <f>VLOOKUP(C110,'[1]Agency Dict'!C$2:F$42,4,0)</f>
        <v>Regulatory</v>
      </c>
      <c r="B110" t="str">
        <f>VLOOKUP(C110,'[1]Agency Dict'!C$2:E$42,3,0)</f>
        <v>BACP</v>
      </c>
      <c r="C110" s="4" t="s">
        <v>26</v>
      </c>
      <c r="D110" t="s">
        <v>5</v>
      </c>
      <c r="E110" s="3"/>
      <c r="F110" s="3"/>
      <c r="G110" s="3">
        <v>2655</v>
      </c>
      <c r="H110" s="3">
        <v>13647</v>
      </c>
      <c r="I110" s="3">
        <v>10000</v>
      </c>
      <c r="J110" s="3">
        <v>70000</v>
      </c>
    </row>
    <row r="111" spans="1:10" x14ac:dyDescent="0.25">
      <c r="A111" t="str">
        <f>VLOOKUP(C111,'[1]Agency Dict'!C$2:F$42,4,0)</f>
        <v>Finance and Administration</v>
      </c>
      <c r="B111" t="str">
        <f>VLOOKUP(C111,'[1]Agency Dict'!C$2:E$42,3,0)</f>
        <v>LAW</v>
      </c>
      <c r="C111" s="2" t="s">
        <v>27</v>
      </c>
      <c r="D111" t="s">
        <v>3</v>
      </c>
      <c r="E111" s="3">
        <v>436174</v>
      </c>
      <c r="F111" s="3">
        <v>926033</v>
      </c>
      <c r="G111" s="3">
        <v>584390</v>
      </c>
      <c r="H111" s="3">
        <v>446763</v>
      </c>
      <c r="I111" s="3">
        <v>483188</v>
      </c>
      <c r="J111" s="3">
        <v>696809</v>
      </c>
    </row>
    <row r="112" spans="1:10" x14ac:dyDescent="0.25">
      <c r="A112" t="str">
        <f>VLOOKUP(C112,'[1]Agency Dict'!C$2:F$42,4,0)</f>
        <v>Finance and Administration</v>
      </c>
      <c r="B112" t="str">
        <f>VLOOKUP(C112,'[1]Agency Dict'!C$2:E$42,3,0)</f>
        <v>LAW</v>
      </c>
      <c r="C112" s="2" t="s">
        <v>27</v>
      </c>
      <c r="D112" t="s">
        <v>5</v>
      </c>
      <c r="E112" s="3">
        <v>345000</v>
      </c>
      <c r="F112" s="3">
        <v>345000</v>
      </c>
      <c r="G112" s="3">
        <v>686990</v>
      </c>
      <c r="H112" s="3">
        <v>686990</v>
      </c>
      <c r="I112" s="3">
        <v>436871</v>
      </c>
      <c r="J112" s="3">
        <v>436576</v>
      </c>
    </row>
    <row r="113" spans="1:10" x14ac:dyDescent="0.25">
      <c r="A113" t="str">
        <f>VLOOKUP(C113,'[1]Agency Dict'!C$2:F$42,4,0)</f>
        <v>Finance and Administration</v>
      </c>
      <c r="B113" t="str">
        <f>VLOOKUP(C113,'[1]Agency Dict'!C$2:E$42,3,0)</f>
        <v>LAW</v>
      </c>
      <c r="C113" s="2" t="s">
        <v>27</v>
      </c>
      <c r="D113" t="s">
        <v>4</v>
      </c>
      <c r="E113" s="3">
        <v>252817.25</v>
      </c>
      <c r="F113" s="3">
        <v>289969</v>
      </c>
      <c r="G113" s="3">
        <v>291368</v>
      </c>
      <c r="H113" s="3">
        <v>311743</v>
      </c>
      <c r="I113" s="3">
        <v>382435.5</v>
      </c>
      <c r="J113" s="3">
        <v>359493.25</v>
      </c>
    </row>
    <row r="114" spans="1:10" x14ac:dyDescent="0.25">
      <c r="A114" t="str">
        <f>VLOOKUP(C114,'[1]Agency Dict'!C$2:F$42,4,0)</f>
        <v>Finance and Administration</v>
      </c>
      <c r="B114" t="str">
        <f>VLOOKUP(C114,'[1]Agency Dict'!C$2:E$42,3,0)</f>
        <v>LAW</v>
      </c>
      <c r="C114" s="2" t="s">
        <v>27</v>
      </c>
      <c r="D114" t="s">
        <v>8</v>
      </c>
      <c r="E114" s="3">
        <v>183300</v>
      </c>
      <c r="F114" s="3">
        <v>192468</v>
      </c>
      <c r="G114" s="3">
        <v>216000</v>
      </c>
      <c r="H114" s="3">
        <v>233040</v>
      </c>
      <c r="I114" s="3">
        <v>233040</v>
      </c>
      <c r="J114" s="3">
        <v>233040</v>
      </c>
    </row>
    <row r="115" spans="1:10" x14ac:dyDescent="0.25">
      <c r="A115" t="str">
        <f>VLOOKUP(C115,'[1]Agency Dict'!C$2:F$42,4,0)</f>
        <v>Finance and Administration</v>
      </c>
      <c r="B115" t="str">
        <f>VLOOKUP(C115,'[1]Agency Dict'!C$2:E$42,3,0)</f>
        <v>LAW</v>
      </c>
      <c r="C115" s="4" t="s">
        <v>27</v>
      </c>
      <c r="D115" t="s">
        <v>6</v>
      </c>
      <c r="E115" s="3">
        <v>4775</v>
      </c>
      <c r="F115" s="3"/>
      <c r="G115" s="3"/>
      <c r="H115" s="3"/>
      <c r="I115" s="3"/>
      <c r="J115" s="3"/>
    </row>
    <row r="116" spans="1:10" x14ac:dyDescent="0.25">
      <c r="A116" t="str">
        <f>VLOOKUP(C116,'[1]Agency Dict'!C$2:F$42,4,0)</f>
        <v>Regulatory</v>
      </c>
      <c r="B116" t="str">
        <f>VLOOKUP(C116,'[1]Agency Dict'!C$2:E$42,3,0)</f>
        <v>DOB</v>
      </c>
      <c r="C116" s="2" t="s">
        <v>28</v>
      </c>
      <c r="D116" t="s">
        <v>4</v>
      </c>
      <c r="E116" s="3">
        <v>622454</v>
      </c>
      <c r="F116" s="3">
        <v>661682</v>
      </c>
      <c r="G116" s="3">
        <v>857216.75</v>
      </c>
      <c r="H116" s="3">
        <v>995716.75</v>
      </c>
      <c r="I116" s="3">
        <v>946966.75</v>
      </c>
      <c r="J116" s="3">
        <v>723841.75</v>
      </c>
    </row>
    <row r="117" spans="1:10" x14ac:dyDescent="0.25">
      <c r="A117" t="str">
        <f>VLOOKUP(C117,'[1]Agency Dict'!C$2:F$42,4,0)</f>
        <v>Regulatory</v>
      </c>
      <c r="B117" t="str">
        <f>VLOOKUP(C117,'[1]Agency Dict'!C$2:E$42,3,0)</f>
        <v>DOB</v>
      </c>
      <c r="C117" s="2" t="s">
        <v>28</v>
      </c>
      <c r="D117" t="s">
        <v>8</v>
      </c>
      <c r="E117" s="3">
        <v>299784</v>
      </c>
      <c r="F117" s="3">
        <v>315444</v>
      </c>
      <c r="G117" s="3">
        <v>318912</v>
      </c>
      <c r="H117" s="3">
        <v>353472</v>
      </c>
      <c r="I117" s="3">
        <v>353472</v>
      </c>
      <c r="J117" s="3">
        <v>353472</v>
      </c>
    </row>
    <row r="118" spans="1:10" x14ac:dyDescent="0.25">
      <c r="A118" t="str">
        <f>VLOOKUP(C118,'[1]Agency Dict'!C$2:F$42,4,0)</f>
        <v>Regulatory</v>
      </c>
      <c r="B118" t="str">
        <f>VLOOKUP(C118,'[1]Agency Dict'!C$2:E$42,3,0)</f>
        <v>DOB</v>
      </c>
      <c r="C118" s="2" t="s">
        <v>28</v>
      </c>
      <c r="D118" t="s">
        <v>3</v>
      </c>
      <c r="E118" s="3">
        <v>283000</v>
      </c>
      <c r="F118" s="3">
        <v>50250</v>
      </c>
      <c r="G118" s="3">
        <v>62250</v>
      </c>
      <c r="H118" s="3">
        <v>24000</v>
      </c>
      <c r="I118" s="3">
        <v>24000</v>
      </c>
      <c r="J118" s="3">
        <v>24000</v>
      </c>
    </row>
    <row r="119" spans="1:10" x14ac:dyDescent="0.25">
      <c r="A119" t="str">
        <f>VLOOKUP(C119,'[1]Agency Dict'!C$2:F$42,4,0)</f>
        <v>Regulatory</v>
      </c>
      <c r="B119" t="str">
        <f>VLOOKUP(C119,'[1]Agency Dict'!C$2:E$42,3,0)</f>
        <v>DOB</v>
      </c>
      <c r="C119" s="4" t="s">
        <v>28</v>
      </c>
      <c r="D119" t="s">
        <v>6</v>
      </c>
      <c r="E119" s="3">
        <v>15875</v>
      </c>
      <c r="F119" s="3"/>
      <c r="G119" s="3"/>
      <c r="H119" s="3"/>
      <c r="I119" s="3"/>
      <c r="J119" s="3"/>
    </row>
    <row r="120" spans="1:10" x14ac:dyDescent="0.25">
      <c r="A120" t="str">
        <f>VLOOKUP(C120,'[1]Agency Dict'!C$2:F$42,4,0)</f>
        <v>Public Safety</v>
      </c>
      <c r="B120" t="str">
        <f>VLOOKUP(C120,'[1]Agency Dict'!C$2:E$42,3,0)</f>
        <v>COPA</v>
      </c>
      <c r="C120" s="2" t="s">
        <v>29</v>
      </c>
      <c r="D120" t="s">
        <v>8</v>
      </c>
      <c r="E120" s="3">
        <v>511644</v>
      </c>
      <c r="F120" s="3">
        <v>659556</v>
      </c>
      <c r="G120" s="3">
        <v>945456</v>
      </c>
      <c r="H120" s="3">
        <v>941712</v>
      </c>
      <c r="I120" s="3">
        <v>941712</v>
      </c>
      <c r="J120" s="3">
        <v>941712</v>
      </c>
    </row>
    <row r="121" spans="1:10" x14ac:dyDescent="0.25">
      <c r="A121" t="str">
        <f>VLOOKUP(C121,'[1]Agency Dict'!C$2:F$42,4,0)</f>
        <v>Public Safety</v>
      </c>
      <c r="B121" t="str">
        <f>VLOOKUP(C121,'[1]Agency Dict'!C$2:E$42,3,0)</f>
        <v>COPA</v>
      </c>
      <c r="C121" s="2" t="s">
        <v>29</v>
      </c>
      <c r="D121" t="s">
        <v>5</v>
      </c>
      <c r="E121" s="3">
        <v>181865</v>
      </c>
      <c r="F121" s="3">
        <v>184365</v>
      </c>
      <c r="G121" s="3">
        <v>146365</v>
      </c>
      <c r="H121" s="3">
        <v>174000</v>
      </c>
      <c r="I121" s="3">
        <v>181000</v>
      </c>
      <c r="J121" s="3">
        <v>145000</v>
      </c>
    </row>
    <row r="122" spans="1:10" x14ac:dyDescent="0.25">
      <c r="A122" t="str">
        <f>VLOOKUP(C122,'[1]Agency Dict'!C$2:F$42,4,0)</f>
        <v>Public Safety</v>
      </c>
      <c r="B122" t="str">
        <f>VLOOKUP(C122,'[1]Agency Dict'!C$2:E$42,3,0)</f>
        <v>COPA</v>
      </c>
      <c r="C122" s="2" t="s">
        <v>29</v>
      </c>
      <c r="D122" t="s">
        <v>4</v>
      </c>
      <c r="E122" s="3">
        <v>112685</v>
      </c>
      <c r="F122" s="3">
        <v>165100</v>
      </c>
      <c r="G122" s="3">
        <v>185875</v>
      </c>
      <c r="H122" s="3">
        <v>178125</v>
      </c>
      <c r="I122" s="3">
        <v>154625</v>
      </c>
      <c r="J122" s="3">
        <v>136425</v>
      </c>
    </row>
    <row r="123" spans="1:10" x14ac:dyDescent="0.25">
      <c r="A123" t="str">
        <f>VLOOKUP(C123,'[1]Agency Dict'!C$2:F$42,4,0)</f>
        <v>Public Safety</v>
      </c>
      <c r="B123" t="str">
        <f>VLOOKUP(C123,'[1]Agency Dict'!C$2:E$42,3,0)</f>
        <v>COPA</v>
      </c>
      <c r="C123" s="2" t="s">
        <v>29</v>
      </c>
      <c r="D123" t="s">
        <v>3</v>
      </c>
      <c r="E123" s="3">
        <v>107900</v>
      </c>
      <c r="F123" s="3"/>
      <c r="G123" s="3"/>
      <c r="H123" s="3"/>
      <c r="I123" s="3"/>
      <c r="J123" s="3"/>
    </row>
    <row r="124" spans="1:10" x14ac:dyDescent="0.25">
      <c r="A124" t="str">
        <f>VLOOKUP(C124,'[1]Agency Dict'!C$2:F$42,4,0)</f>
        <v>Public Safety</v>
      </c>
      <c r="B124" t="str">
        <f>VLOOKUP(C124,'[1]Agency Dict'!C$2:E$42,3,0)</f>
        <v>COPA</v>
      </c>
      <c r="C124" s="4" t="s">
        <v>29</v>
      </c>
      <c r="D124" t="s">
        <v>6</v>
      </c>
      <c r="E124" s="3">
        <v>300</v>
      </c>
      <c r="F124" s="3"/>
      <c r="G124" s="3"/>
      <c r="H124" s="3"/>
      <c r="I124" s="3"/>
      <c r="J124" s="3"/>
    </row>
    <row r="125" spans="1:10" x14ac:dyDescent="0.25">
      <c r="A125" t="str">
        <f>VLOOKUP(C125,'[1]Agency Dict'!C$2:F$42,4,0)</f>
        <v>Finance and Administration</v>
      </c>
      <c r="B125" t="str">
        <f>VLOOKUP(C125,'[1]Agency Dict'!C$2:E$42,3,0)</f>
        <v>DPS</v>
      </c>
      <c r="C125" s="2" t="s">
        <v>30</v>
      </c>
      <c r="D125" t="s">
        <v>8</v>
      </c>
      <c r="E125" s="3">
        <v>227292</v>
      </c>
      <c r="F125" s="3">
        <v>237888</v>
      </c>
      <c r="G125" s="3">
        <v>452652</v>
      </c>
      <c r="H125" s="3">
        <v>576528</v>
      </c>
      <c r="I125" s="3">
        <v>576528</v>
      </c>
      <c r="J125" s="3">
        <v>576528</v>
      </c>
    </row>
    <row r="126" spans="1:10" x14ac:dyDescent="0.25">
      <c r="A126" t="str">
        <f>VLOOKUP(C126,'[1]Agency Dict'!C$2:F$42,4,0)</f>
        <v>Finance and Administration</v>
      </c>
      <c r="B126" t="str">
        <f>VLOOKUP(C126,'[1]Agency Dict'!C$2:E$42,3,0)</f>
        <v>DPS</v>
      </c>
      <c r="C126" s="2" t="s">
        <v>30</v>
      </c>
      <c r="D126" t="s">
        <v>4</v>
      </c>
      <c r="E126" s="3">
        <v>53724.25</v>
      </c>
      <c r="F126" s="3">
        <v>175025</v>
      </c>
      <c r="G126" s="3">
        <v>220325</v>
      </c>
      <c r="H126" s="3">
        <v>335050</v>
      </c>
      <c r="I126" s="3">
        <v>309163.5</v>
      </c>
      <c r="J126" s="3">
        <v>309163.5</v>
      </c>
    </row>
    <row r="127" spans="1:10" x14ac:dyDescent="0.25">
      <c r="A127" t="str">
        <f>VLOOKUP(C127,'[1]Agency Dict'!C$2:F$42,4,0)</f>
        <v>Finance and Administration</v>
      </c>
      <c r="B127" t="str">
        <f>VLOOKUP(C127,'[1]Agency Dict'!C$2:E$42,3,0)</f>
        <v>DPS</v>
      </c>
      <c r="C127" s="2" t="s">
        <v>30</v>
      </c>
      <c r="D127" t="s">
        <v>3</v>
      </c>
      <c r="E127" s="3">
        <v>23815</v>
      </c>
      <c r="F127" s="3">
        <v>195760</v>
      </c>
      <c r="G127" s="3">
        <v>195760</v>
      </c>
      <c r="H127" s="3">
        <v>205760</v>
      </c>
      <c r="I127" s="3">
        <v>205210</v>
      </c>
      <c r="J127" s="3">
        <v>149235</v>
      </c>
    </row>
    <row r="128" spans="1:10" x14ac:dyDescent="0.25">
      <c r="A128" t="str">
        <f>VLOOKUP(C128,'[1]Agency Dict'!C$2:F$42,4,0)</f>
        <v>Finance and Administration</v>
      </c>
      <c r="B128" t="str">
        <f>VLOOKUP(C128,'[1]Agency Dict'!C$2:E$42,3,0)</f>
        <v>DPS</v>
      </c>
      <c r="C128" s="2" t="s">
        <v>30</v>
      </c>
      <c r="D128" t="s">
        <v>5</v>
      </c>
      <c r="E128" s="3">
        <v>2000</v>
      </c>
      <c r="F128" s="3">
        <v>2800</v>
      </c>
      <c r="G128" s="3">
        <v>29315</v>
      </c>
      <c r="H128" s="3">
        <v>19565</v>
      </c>
      <c r="I128" s="3">
        <v>10550</v>
      </c>
      <c r="J128" s="3">
        <v>21525</v>
      </c>
    </row>
    <row r="129" spans="1:10" x14ac:dyDescent="0.25">
      <c r="A129" t="str">
        <f>VLOOKUP(C129,'[1]Agency Dict'!C$2:F$42,4,0)</f>
        <v>Finance and Administration</v>
      </c>
      <c r="B129" t="str">
        <f>VLOOKUP(C129,'[1]Agency Dict'!C$2:E$42,3,0)</f>
        <v>DPS</v>
      </c>
      <c r="C129" s="4" t="s">
        <v>30</v>
      </c>
      <c r="D129" t="s">
        <v>6</v>
      </c>
      <c r="E129" s="3">
        <v>7649</v>
      </c>
      <c r="F129" s="3">
        <v>2009</v>
      </c>
      <c r="G129" s="3">
        <v>9660</v>
      </c>
      <c r="H129" s="3">
        <v>11400</v>
      </c>
      <c r="I129" s="3">
        <v>8400</v>
      </c>
      <c r="J129" s="3">
        <v>8400</v>
      </c>
    </row>
    <row r="130" spans="1:10" x14ac:dyDescent="0.25">
      <c r="A130" t="str">
        <f>VLOOKUP(C130,'[1]Agency Dict'!C$2:F$42,4,0)</f>
        <v>Finance and Administration</v>
      </c>
      <c r="B130" t="str">
        <f>VLOOKUP(C130,'[1]Agency Dict'!C$2:E$42,3,0)</f>
        <v>CTO</v>
      </c>
      <c r="C130" s="2" t="s">
        <v>31</v>
      </c>
      <c r="D130" t="s">
        <v>3</v>
      </c>
      <c r="E130" s="3">
        <v>493032</v>
      </c>
      <c r="F130" s="3">
        <v>514044</v>
      </c>
      <c r="G130" s="3">
        <v>557325</v>
      </c>
      <c r="H130" s="3">
        <v>557325</v>
      </c>
      <c r="I130" s="3">
        <v>556825</v>
      </c>
      <c r="J130" s="3">
        <v>556825</v>
      </c>
    </row>
    <row r="131" spans="1:10" x14ac:dyDescent="0.25">
      <c r="A131" t="str">
        <f>VLOOKUP(C131,'[1]Agency Dict'!C$2:F$42,4,0)</f>
        <v>Finance and Administration</v>
      </c>
      <c r="B131" t="str">
        <f>VLOOKUP(C131,'[1]Agency Dict'!C$2:E$42,3,0)</f>
        <v>CTO</v>
      </c>
      <c r="C131" s="2" t="s">
        <v>31</v>
      </c>
      <c r="D131" t="s">
        <v>4</v>
      </c>
      <c r="E131" s="3">
        <v>117349.75</v>
      </c>
      <c r="F131" s="3">
        <v>154849.5</v>
      </c>
      <c r="G131" s="3">
        <v>232193</v>
      </c>
      <c r="H131" s="3">
        <v>281943</v>
      </c>
      <c r="I131" s="3">
        <v>279701.5</v>
      </c>
      <c r="J131" s="3">
        <v>279701.5</v>
      </c>
    </row>
    <row r="132" spans="1:10" x14ac:dyDescent="0.25">
      <c r="A132" t="str">
        <f>VLOOKUP(C132,'[1]Agency Dict'!C$2:F$42,4,0)</f>
        <v>Finance and Administration</v>
      </c>
      <c r="B132" t="str">
        <f>VLOOKUP(C132,'[1]Agency Dict'!C$2:E$42,3,0)</f>
        <v>CTO</v>
      </c>
      <c r="C132" s="2" t="s">
        <v>31</v>
      </c>
      <c r="D132" t="s">
        <v>8</v>
      </c>
      <c r="E132" s="3">
        <v>72024</v>
      </c>
      <c r="F132" s="3">
        <v>78252</v>
      </c>
      <c r="G132" s="3">
        <v>80652</v>
      </c>
      <c r="H132" s="3"/>
      <c r="I132" s="3"/>
      <c r="J132" s="3"/>
    </row>
    <row r="133" spans="1:10" x14ac:dyDescent="0.25">
      <c r="A133" t="str">
        <f>VLOOKUP(C133,'[1]Agency Dict'!C$2:F$42,4,0)</f>
        <v>Finance and Administration</v>
      </c>
      <c r="B133" t="str">
        <f>VLOOKUP(C133,'[1]Agency Dict'!C$2:E$42,3,0)</f>
        <v>CTO</v>
      </c>
      <c r="C133" s="2" t="s">
        <v>31</v>
      </c>
      <c r="D133" t="s">
        <v>5</v>
      </c>
      <c r="E133" s="3">
        <v>16000</v>
      </c>
      <c r="F133" s="3">
        <v>31721</v>
      </c>
      <c r="G133" s="3">
        <v>31721</v>
      </c>
      <c r="H133" s="3">
        <v>31721</v>
      </c>
      <c r="I133" s="3">
        <v>31721</v>
      </c>
      <c r="J133" s="3">
        <v>31721</v>
      </c>
    </row>
    <row r="134" spans="1:10" x14ac:dyDescent="0.25">
      <c r="A134" t="str">
        <f>VLOOKUP(C134,'[1]Agency Dict'!C$2:F$42,4,0)</f>
        <v>Finance and Administration</v>
      </c>
      <c r="B134" t="str">
        <f>VLOOKUP(C134,'[1]Agency Dict'!C$2:E$42,3,0)</f>
        <v>CTO</v>
      </c>
      <c r="C134" s="4" t="s">
        <v>31</v>
      </c>
      <c r="D134" t="s">
        <v>6</v>
      </c>
      <c r="E134" s="3">
        <v>2330</v>
      </c>
      <c r="F134" s="3"/>
      <c r="G134" s="3"/>
      <c r="H134" s="3"/>
      <c r="I134" s="3"/>
      <c r="J134" s="3"/>
    </row>
    <row r="135" spans="1:10" x14ac:dyDescent="0.25">
      <c r="A135" t="str">
        <f>VLOOKUP(C135,'[1]Agency Dict'!C$2:F$42,4,0)</f>
        <v>Finance and Administration</v>
      </c>
      <c r="B135" t="str">
        <f>VLOOKUP(C135,'[1]Agency Dict'!C$2:E$42,3,0)</f>
        <v>DHR</v>
      </c>
      <c r="C135" s="2" t="s">
        <v>32</v>
      </c>
      <c r="D135" t="s">
        <v>8</v>
      </c>
      <c r="E135" s="3">
        <v>311148</v>
      </c>
      <c r="F135" s="3">
        <v>326700</v>
      </c>
      <c r="G135" s="3">
        <v>441492</v>
      </c>
      <c r="H135" s="3">
        <v>445884</v>
      </c>
      <c r="I135" s="3">
        <v>445884</v>
      </c>
      <c r="J135" s="3">
        <v>445884</v>
      </c>
    </row>
    <row r="136" spans="1:10" x14ac:dyDescent="0.25">
      <c r="A136" t="str">
        <f>VLOOKUP(C136,'[1]Agency Dict'!C$2:F$42,4,0)</f>
        <v>Finance and Administration</v>
      </c>
      <c r="B136" t="str">
        <f>VLOOKUP(C136,'[1]Agency Dict'!C$2:E$42,3,0)</f>
        <v>DHR</v>
      </c>
      <c r="C136" s="2" t="s">
        <v>32</v>
      </c>
      <c r="D136" t="s">
        <v>4</v>
      </c>
      <c r="E136" s="3">
        <v>49979.75</v>
      </c>
      <c r="F136" s="3">
        <v>62507.75</v>
      </c>
      <c r="G136" s="3">
        <v>77640.75</v>
      </c>
      <c r="H136" s="3">
        <v>114076.5</v>
      </c>
      <c r="I136" s="3">
        <v>123032.75</v>
      </c>
      <c r="J136" s="3">
        <v>78989.5</v>
      </c>
    </row>
    <row r="137" spans="1:10" x14ac:dyDescent="0.25">
      <c r="A137" t="str">
        <f>VLOOKUP(C137,'[1]Agency Dict'!C$2:F$42,4,0)</f>
        <v>Finance and Administration</v>
      </c>
      <c r="B137" t="str">
        <f>VLOOKUP(C137,'[1]Agency Dict'!C$2:E$42,3,0)</f>
        <v>DHR</v>
      </c>
      <c r="C137" s="2" t="s">
        <v>32</v>
      </c>
      <c r="D137" t="s">
        <v>5</v>
      </c>
      <c r="E137" s="3">
        <v>15470</v>
      </c>
      <c r="F137" s="3">
        <v>35551</v>
      </c>
      <c r="G137" s="3">
        <v>43578</v>
      </c>
      <c r="H137" s="3">
        <v>45366</v>
      </c>
      <c r="I137" s="3">
        <v>41681</v>
      </c>
      <c r="J137" s="3">
        <v>41681</v>
      </c>
    </row>
    <row r="138" spans="1:10" x14ac:dyDescent="0.25">
      <c r="A138" t="str">
        <f>VLOOKUP(C138,'[1]Agency Dict'!C$2:F$42,4,0)</f>
        <v>Finance and Administration</v>
      </c>
      <c r="B138" t="str">
        <f>VLOOKUP(C138,'[1]Agency Dict'!C$2:E$42,3,0)</f>
        <v>DHR</v>
      </c>
      <c r="C138" s="2" t="s">
        <v>32</v>
      </c>
      <c r="D138" t="s">
        <v>3</v>
      </c>
      <c r="E138" s="3">
        <v>13746</v>
      </c>
      <c r="F138" s="3"/>
      <c r="G138" s="3"/>
      <c r="H138" s="3"/>
      <c r="I138" s="3"/>
      <c r="J138" s="3"/>
    </row>
    <row r="139" spans="1:10" x14ac:dyDescent="0.25">
      <c r="A139" t="str">
        <f>VLOOKUP(C139,'[1]Agency Dict'!C$2:F$42,4,0)</f>
        <v>Finance and Administration</v>
      </c>
      <c r="B139" t="str">
        <f>VLOOKUP(C139,'[1]Agency Dict'!C$2:E$42,3,0)</f>
        <v>DHR</v>
      </c>
      <c r="C139" s="4" t="s">
        <v>32</v>
      </c>
      <c r="D139" t="s">
        <v>6</v>
      </c>
      <c r="E139" s="3">
        <v>1310</v>
      </c>
      <c r="F139" s="3"/>
      <c r="G139" s="3"/>
      <c r="H139" s="3"/>
      <c r="I139" s="3"/>
      <c r="J139" s="3"/>
    </row>
    <row r="140" spans="1:10" x14ac:dyDescent="0.25">
      <c r="A140" t="str">
        <f>VLOOKUP(C140,'[1]Agency Dict'!C$2:F$42,4,0)</f>
        <v>Community Services</v>
      </c>
      <c r="B140" t="str">
        <f>VLOOKUP(C140,'[1]Agency Dict'!C$2:E$42,3,0)</f>
        <v>MOPD</v>
      </c>
      <c r="C140" s="2" t="s">
        <v>33</v>
      </c>
      <c r="D140" t="s">
        <v>4</v>
      </c>
      <c r="E140" s="3">
        <v>205350</v>
      </c>
      <c r="F140" s="3">
        <v>294146</v>
      </c>
      <c r="G140" s="3">
        <v>495523.5</v>
      </c>
      <c r="H140" s="3">
        <v>655594.5</v>
      </c>
      <c r="I140" s="3">
        <v>99195.75</v>
      </c>
      <c r="J140" s="3">
        <v>48715.25</v>
      </c>
    </row>
    <row r="141" spans="1:10" x14ac:dyDescent="0.25">
      <c r="A141" t="str">
        <f>VLOOKUP(C141,'[1]Agency Dict'!C$2:F$42,4,0)</f>
        <v>Community Services</v>
      </c>
      <c r="B141" t="str">
        <f>VLOOKUP(C141,'[1]Agency Dict'!C$2:E$42,3,0)</f>
        <v>MOPD</v>
      </c>
      <c r="C141" s="2" t="s">
        <v>33</v>
      </c>
      <c r="D141" t="s">
        <v>3</v>
      </c>
      <c r="E141" s="3">
        <v>12850</v>
      </c>
      <c r="F141" s="3">
        <v>62177</v>
      </c>
      <c r="G141" s="3">
        <v>88321</v>
      </c>
      <c r="H141" s="3">
        <v>88321</v>
      </c>
      <c r="I141" s="3">
        <v>75117</v>
      </c>
      <c r="J141" s="3">
        <v>76001</v>
      </c>
    </row>
    <row r="142" spans="1:10" x14ac:dyDescent="0.25">
      <c r="A142" t="str">
        <f>VLOOKUP(C142,'[1]Agency Dict'!C$2:F$42,4,0)</f>
        <v>Community Services</v>
      </c>
      <c r="B142" t="str">
        <f>VLOOKUP(C142,'[1]Agency Dict'!C$2:E$42,3,0)</f>
        <v>MOPD</v>
      </c>
      <c r="C142" s="2" t="s">
        <v>33</v>
      </c>
      <c r="D142" t="s">
        <v>5</v>
      </c>
      <c r="E142" s="3"/>
      <c r="F142" s="3">
        <v>3679</v>
      </c>
      <c r="G142" s="3">
        <v>7551</v>
      </c>
      <c r="H142" s="3">
        <v>7551</v>
      </c>
      <c r="I142" s="3">
        <v>149576</v>
      </c>
      <c r="J142" s="3">
        <v>141696</v>
      </c>
    </row>
    <row r="143" spans="1:10" x14ac:dyDescent="0.25">
      <c r="A143" t="str">
        <f>VLOOKUP(C143,'[1]Agency Dict'!C$2:F$42,4,0)</f>
        <v>Community Services</v>
      </c>
      <c r="B143" t="str">
        <f>VLOOKUP(C143,'[1]Agency Dict'!C$2:E$42,3,0)</f>
        <v>MOPD</v>
      </c>
      <c r="C143" s="2" t="s">
        <v>33</v>
      </c>
      <c r="D143" t="s">
        <v>8</v>
      </c>
      <c r="E143" s="3"/>
      <c r="F143" s="3"/>
      <c r="G143" s="3">
        <v>71280</v>
      </c>
      <c r="H143" s="3">
        <v>77892</v>
      </c>
      <c r="I143" s="3">
        <v>77892</v>
      </c>
      <c r="J143" s="3">
        <v>77892</v>
      </c>
    </row>
    <row r="144" spans="1:10" x14ac:dyDescent="0.25">
      <c r="A144" t="str">
        <f>VLOOKUP(C144,'[1]Agency Dict'!C$2:F$42,4,0)</f>
        <v>Community Services</v>
      </c>
      <c r="B144" t="str">
        <f>VLOOKUP(C144,'[1]Agency Dict'!C$2:E$42,3,0)</f>
        <v>MOPD</v>
      </c>
      <c r="C144" s="4" t="s">
        <v>33</v>
      </c>
      <c r="D144" t="s">
        <v>6</v>
      </c>
      <c r="E144" s="3">
        <v>775</v>
      </c>
      <c r="F144" s="3">
        <v>40495</v>
      </c>
      <c r="G144" s="3">
        <v>60095</v>
      </c>
      <c r="H144" s="3">
        <v>60095</v>
      </c>
      <c r="I144" s="3">
        <v>14255</v>
      </c>
      <c r="J144" s="3">
        <v>7223</v>
      </c>
    </row>
    <row r="145" spans="1:10" x14ac:dyDescent="0.25">
      <c r="A145" t="str">
        <f>VLOOKUP(C145,'[1]Agency Dict'!C$2:F$42,4,0)</f>
        <v>Public Safety</v>
      </c>
      <c r="B145" t="str">
        <f>VLOOKUP(C145,'[1]Agency Dict'!C$2:E$42,3,0)</f>
        <v>CCPSA</v>
      </c>
      <c r="C145" s="2" t="s">
        <v>34</v>
      </c>
      <c r="D145" t="s">
        <v>4</v>
      </c>
      <c r="E145" s="3"/>
      <c r="F145" s="3">
        <v>518393</v>
      </c>
      <c r="G145" s="3">
        <v>39625</v>
      </c>
      <c r="H145" s="3">
        <v>50750</v>
      </c>
      <c r="I145" s="3">
        <v>63808.25</v>
      </c>
      <c r="J145" s="3">
        <v>19825</v>
      </c>
    </row>
    <row r="146" spans="1:10" x14ac:dyDescent="0.25">
      <c r="A146" t="str">
        <f>VLOOKUP(C146,'[1]Agency Dict'!C$2:F$42,4,0)</f>
        <v>Public Safety</v>
      </c>
      <c r="B146" t="str">
        <f>VLOOKUP(C146,'[1]Agency Dict'!C$2:E$42,3,0)</f>
        <v>CCPSA</v>
      </c>
      <c r="C146" s="2" t="s">
        <v>34</v>
      </c>
      <c r="D146" t="s">
        <v>3</v>
      </c>
      <c r="E146" s="3"/>
      <c r="F146" s="3"/>
      <c r="G146" s="3">
        <v>70000</v>
      </c>
      <c r="H146" s="3">
        <v>81000</v>
      </c>
      <c r="I146" s="3">
        <v>77000</v>
      </c>
      <c r="J146" s="3">
        <v>33000</v>
      </c>
    </row>
    <row r="147" spans="1:10" x14ac:dyDescent="0.25">
      <c r="A147" t="str">
        <f>VLOOKUP(C147,'[1]Agency Dict'!C$2:F$42,4,0)</f>
        <v>Public Safety</v>
      </c>
      <c r="B147" t="str">
        <f>VLOOKUP(C147,'[1]Agency Dict'!C$2:E$42,3,0)</f>
        <v>CCPSA</v>
      </c>
      <c r="C147" s="2" t="s">
        <v>34</v>
      </c>
      <c r="D147" t="s">
        <v>5</v>
      </c>
      <c r="E147" s="3"/>
      <c r="F147" s="3"/>
      <c r="G147" s="3">
        <v>13500</v>
      </c>
      <c r="H147" s="3">
        <v>24500</v>
      </c>
      <c r="I147" s="3">
        <v>24500</v>
      </c>
      <c r="J147" s="3">
        <v>22120</v>
      </c>
    </row>
    <row r="148" spans="1:10" x14ac:dyDescent="0.25">
      <c r="A148" t="str">
        <f>VLOOKUP(C148,'[1]Agency Dict'!C$2:F$42,4,0)</f>
        <v>Public Safety</v>
      </c>
      <c r="B148" t="str">
        <f>VLOOKUP(C148,'[1]Agency Dict'!C$2:E$42,3,0)</f>
        <v>CCPSA</v>
      </c>
      <c r="C148" s="4" t="s">
        <v>34</v>
      </c>
      <c r="D148" t="s">
        <v>6</v>
      </c>
      <c r="E148" s="3"/>
      <c r="F148" s="3"/>
      <c r="G148" s="3">
        <v>5000</v>
      </c>
      <c r="H148" s="3">
        <v>5000</v>
      </c>
      <c r="I148" s="3">
        <v>5000</v>
      </c>
      <c r="J148" s="3">
        <v>5000</v>
      </c>
    </row>
    <row r="149" spans="1:10" x14ac:dyDescent="0.25">
      <c r="A149" t="str">
        <f>VLOOKUP(C149,'[1]Agency Dict'!C$2:F$42,4,0)</f>
        <v>Regulatory</v>
      </c>
      <c r="B149" t="str">
        <f>VLOOKUP(C149,'[1]Agency Dict'!C$2:E$42,3,0)</f>
        <v>DOE</v>
      </c>
      <c r="C149" t="s">
        <v>43</v>
      </c>
      <c r="D149" t="s">
        <v>4</v>
      </c>
      <c r="E149" s="3"/>
      <c r="F149" s="3"/>
      <c r="G149" s="3"/>
      <c r="H149" s="3">
        <v>125000</v>
      </c>
      <c r="I149" s="3">
        <v>116021.25</v>
      </c>
      <c r="J149" s="3">
        <v>202287.25</v>
      </c>
    </row>
    <row r="150" spans="1:10" x14ac:dyDescent="0.25">
      <c r="A150" t="str">
        <f>VLOOKUP(C150,'[1]Agency Dict'!C$2:F$42,4,0)</f>
        <v>Regulatory</v>
      </c>
      <c r="B150" t="str">
        <f>VLOOKUP(C150,'[1]Agency Dict'!C$2:E$42,3,0)</f>
        <v>DOE</v>
      </c>
      <c r="C150" t="s">
        <v>43</v>
      </c>
      <c r="D150" t="s">
        <v>5</v>
      </c>
      <c r="E150" s="3"/>
      <c r="F150" s="3"/>
      <c r="G150" s="3"/>
      <c r="H150" s="3"/>
      <c r="I150" s="3">
        <v>1500</v>
      </c>
      <c r="J150" s="3">
        <v>172518</v>
      </c>
    </row>
    <row r="151" spans="1:10" x14ac:dyDescent="0.25">
      <c r="A151" t="str">
        <f>VLOOKUP(C151,'[1]Agency Dict'!C$2:F$42,4,0)</f>
        <v>Regulatory</v>
      </c>
      <c r="B151" t="str">
        <f>VLOOKUP(C151,'[1]Agency Dict'!C$2:E$42,3,0)</f>
        <v>DOE</v>
      </c>
      <c r="C151" t="s">
        <v>43</v>
      </c>
      <c r="D151" t="s">
        <v>6</v>
      </c>
      <c r="E151" s="3"/>
      <c r="F151" s="3"/>
      <c r="G151" s="3"/>
      <c r="H151" s="3">
        <v>4500</v>
      </c>
      <c r="I151" s="3">
        <v>4500</v>
      </c>
      <c r="J151" s="3">
        <v>4500</v>
      </c>
    </row>
    <row r="152" spans="1:10" x14ac:dyDescent="0.25">
      <c r="A152" t="str">
        <f>VLOOKUP(C152,'[1]Agency Dict'!C$2:F$42,4,0)</f>
        <v>Regulatory</v>
      </c>
      <c r="B152" t="str">
        <f>VLOOKUP(C152,'[1]Agency Dict'!C$2:E$42,3,0)</f>
        <v>DOE</v>
      </c>
      <c r="C152" t="s">
        <v>43</v>
      </c>
      <c r="D152" t="s">
        <v>3</v>
      </c>
      <c r="E152" s="3"/>
      <c r="F152" s="3"/>
      <c r="G152" s="3"/>
      <c r="H152" s="3"/>
      <c r="I152" s="3"/>
      <c r="J152" s="3">
        <v>7008</v>
      </c>
    </row>
    <row r="153" spans="1:10" x14ac:dyDescent="0.25">
      <c r="A153" t="str">
        <f>VLOOKUP(C153,'[1]Agency Dict'!C$2:F$42,4,0)</f>
        <v>Finance and Administration</v>
      </c>
      <c r="B153" t="str">
        <f>VLOOKUP(C153,'[1]Agency Dict'!C$2:E$42,3,0)</f>
        <v>MO</v>
      </c>
      <c r="C153" s="2" t="s">
        <v>35</v>
      </c>
      <c r="D153" t="s">
        <v>4</v>
      </c>
      <c r="E153" s="3">
        <v>239600.75</v>
      </c>
      <c r="F153" s="3">
        <v>115750</v>
      </c>
      <c r="G153" s="3">
        <v>40000</v>
      </c>
      <c r="H153" s="3">
        <v>72500</v>
      </c>
      <c r="I153" s="3">
        <v>4000</v>
      </c>
      <c r="J153" s="3">
        <v>3000</v>
      </c>
    </row>
    <row r="154" spans="1:10" x14ac:dyDescent="0.25">
      <c r="A154" t="str">
        <f>VLOOKUP(C154,'[1]Agency Dict'!C$2:F$42,4,0)</f>
        <v>Finance and Administration</v>
      </c>
      <c r="B154" t="str">
        <f>VLOOKUP(C154,'[1]Agency Dict'!C$2:E$42,3,0)</f>
        <v>MO</v>
      </c>
      <c r="C154" s="2" t="s">
        <v>35</v>
      </c>
      <c r="D154" t="s">
        <v>3</v>
      </c>
      <c r="E154" s="3">
        <v>74365</v>
      </c>
      <c r="F154" s="3">
        <v>1600</v>
      </c>
      <c r="G154" s="3">
        <v>1600</v>
      </c>
      <c r="H154" s="3">
        <v>1600</v>
      </c>
      <c r="I154" s="3"/>
      <c r="J154" s="3"/>
    </row>
    <row r="155" spans="1:10" x14ac:dyDescent="0.25">
      <c r="A155" t="str">
        <f>VLOOKUP(C155,'[1]Agency Dict'!C$2:F$42,4,0)</f>
        <v>Finance and Administration</v>
      </c>
      <c r="B155" t="str">
        <f>VLOOKUP(C155,'[1]Agency Dict'!C$2:E$42,3,0)</f>
        <v>MO</v>
      </c>
      <c r="C155" s="2" t="s">
        <v>35</v>
      </c>
      <c r="D155" t="s">
        <v>5</v>
      </c>
      <c r="E155" s="3">
        <v>2500</v>
      </c>
      <c r="F155" s="3">
        <v>2500</v>
      </c>
      <c r="G155" s="3">
        <v>2500</v>
      </c>
      <c r="H155" s="3">
        <v>2500</v>
      </c>
      <c r="I155" s="3">
        <v>3400</v>
      </c>
      <c r="J155" s="3">
        <v>32107</v>
      </c>
    </row>
    <row r="156" spans="1:10" x14ac:dyDescent="0.25">
      <c r="A156" t="str">
        <f>VLOOKUP(C156,'[1]Agency Dict'!C$2:F$42,4,0)</f>
        <v>Finance and Administration</v>
      </c>
      <c r="B156" t="str">
        <f>VLOOKUP(C156,'[1]Agency Dict'!C$2:E$42,3,0)</f>
        <v>MO</v>
      </c>
      <c r="C156" s="4" t="s">
        <v>35</v>
      </c>
      <c r="D156" t="s">
        <v>6</v>
      </c>
      <c r="E156" s="3">
        <v>2800</v>
      </c>
      <c r="F156" s="3"/>
      <c r="G156" s="3"/>
      <c r="H156" s="3"/>
      <c r="I156" s="3"/>
      <c r="J156" s="3"/>
    </row>
    <row r="157" spans="1:10" x14ac:dyDescent="0.25">
      <c r="A157" t="str">
        <f>VLOOKUP(C157,'[1]Agency Dict'!C$2:F$42,4,0)</f>
        <v>Regulatory</v>
      </c>
      <c r="B157" t="str">
        <f>VLOOKUP(C157,'[1]Agency Dict'!C$2:E$42,3,0)</f>
        <v>CACC</v>
      </c>
      <c r="C157" s="2" t="s">
        <v>36</v>
      </c>
      <c r="D157" t="s">
        <v>4</v>
      </c>
      <c r="E157" s="3">
        <v>65567.75</v>
      </c>
      <c r="F157" s="3">
        <v>65785</v>
      </c>
      <c r="G157" s="3">
        <v>65785</v>
      </c>
      <c r="H157" s="3">
        <v>65785</v>
      </c>
      <c r="I157" s="3">
        <v>75285</v>
      </c>
      <c r="J157" s="3">
        <v>72406.75</v>
      </c>
    </row>
    <row r="158" spans="1:10" x14ac:dyDescent="0.25">
      <c r="A158" t="str">
        <f>VLOOKUP(C158,'[1]Agency Dict'!C$2:F$42,4,0)</f>
        <v>Regulatory</v>
      </c>
      <c r="B158" t="str">
        <f>VLOOKUP(C158,'[1]Agency Dict'!C$2:E$42,3,0)</f>
        <v>CACC</v>
      </c>
      <c r="C158" s="2" t="s">
        <v>36</v>
      </c>
      <c r="D158" t="s">
        <v>3</v>
      </c>
      <c r="E158" s="3">
        <v>37327</v>
      </c>
      <c r="F158" s="3">
        <v>3627</v>
      </c>
      <c r="G158" s="3">
        <v>3627</v>
      </c>
      <c r="H158" s="3">
        <v>3600</v>
      </c>
      <c r="I158" s="3">
        <v>2200</v>
      </c>
      <c r="J158" s="3">
        <v>2200</v>
      </c>
    </row>
    <row r="159" spans="1:10" x14ac:dyDescent="0.25">
      <c r="A159" t="str">
        <f>VLOOKUP(C159,'[1]Agency Dict'!C$2:F$42,4,0)</f>
        <v>Regulatory</v>
      </c>
      <c r="B159" t="str">
        <f>VLOOKUP(C159,'[1]Agency Dict'!C$2:E$42,3,0)</f>
        <v>CACC</v>
      </c>
      <c r="C159" s="4" t="s">
        <v>36</v>
      </c>
      <c r="D159" t="s">
        <v>6</v>
      </c>
      <c r="E159" s="3">
        <v>3545</v>
      </c>
      <c r="F159" s="3"/>
      <c r="G159" s="3"/>
      <c r="H159" s="3"/>
      <c r="I159" s="3"/>
      <c r="J159" s="3"/>
    </row>
    <row r="160" spans="1:10" x14ac:dyDescent="0.25">
      <c r="A160" t="str">
        <f>VLOOKUP(C160,'[1]Agency Dict'!C$2:F$42,4,0)</f>
        <v>Public Safety</v>
      </c>
      <c r="B160" t="str">
        <f>VLOOKUP(C160,'[1]Agency Dict'!C$2:E$42,3,0)</f>
        <v>POLICE BOARD</v>
      </c>
      <c r="C160" s="2" t="s">
        <v>37</v>
      </c>
      <c r="D160" t="s">
        <v>4</v>
      </c>
      <c r="E160" s="3">
        <v>48468.75</v>
      </c>
      <c r="F160" s="3">
        <v>48468.75</v>
      </c>
      <c r="G160" s="3">
        <v>48468.75</v>
      </c>
      <c r="H160" s="3">
        <v>48468.75</v>
      </c>
      <c r="I160" s="3">
        <v>35000</v>
      </c>
      <c r="J160" s="3">
        <v>31250</v>
      </c>
    </row>
    <row r="161" spans="1:10" x14ac:dyDescent="0.25">
      <c r="A161" t="str">
        <f>VLOOKUP(C161,'[1]Agency Dict'!C$2:F$42,4,0)</f>
        <v>Public Safety</v>
      </c>
      <c r="B161" t="str">
        <f>VLOOKUP(C161,'[1]Agency Dict'!C$2:E$42,3,0)</f>
        <v>POLICE BOARD</v>
      </c>
      <c r="C161" s="4" t="s">
        <v>37</v>
      </c>
      <c r="D161" t="s">
        <v>3</v>
      </c>
      <c r="E161" s="3">
        <v>2117</v>
      </c>
      <c r="F161" s="3">
        <v>1500</v>
      </c>
      <c r="G161" s="3"/>
      <c r="H161" s="3">
        <v>2000</v>
      </c>
      <c r="I161" s="3"/>
      <c r="J161" s="3"/>
    </row>
    <row r="162" spans="1:10" x14ac:dyDescent="0.25">
      <c r="A162" t="str">
        <f>VLOOKUP(C162,'[1]Agency Dict'!C$2:F$42,4,0)</f>
        <v>Community Services</v>
      </c>
      <c r="B162" t="str">
        <f>VLOOKUP(C162,'[1]Agency Dict'!C$2:E$42,3,0)</f>
        <v>CCHR</v>
      </c>
      <c r="C162" s="2" t="s">
        <v>38</v>
      </c>
      <c r="D162" t="s">
        <v>4</v>
      </c>
      <c r="E162" s="3">
        <v>15781.75</v>
      </c>
      <c r="F162" s="3">
        <v>13379</v>
      </c>
      <c r="G162" s="3">
        <v>15009.75</v>
      </c>
      <c r="H162" s="3">
        <v>13923.5</v>
      </c>
      <c r="I162" s="3">
        <v>13081.5</v>
      </c>
      <c r="J162" s="3">
        <v>10937.25</v>
      </c>
    </row>
    <row r="163" spans="1:10" x14ac:dyDescent="0.25">
      <c r="A163" t="str">
        <f>VLOOKUP(C163,'[1]Agency Dict'!C$2:F$42,4,0)</f>
        <v>Community Services</v>
      </c>
      <c r="B163" t="str">
        <f>VLOOKUP(C163,'[1]Agency Dict'!C$2:E$42,3,0)</f>
        <v>CCHR</v>
      </c>
      <c r="C163" s="2" t="s">
        <v>38</v>
      </c>
      <c r="D163" t="s">
        <v>3</v>
      </c>
      <c r="E163" s="3">
        <v>3852</v>
      </c>
      <c r="F163" s="3">
        <v>35013</v>
      </c>
      <c r="G163" s="3">
        <v>35013</v>
      </c>
      <c r="H163" s="3"/>
      <c r="I163" s="3"/>
      <c r="J163" s="3"/>
    </row>
    <row r="164" spans="1:10" x14ac:dyDescent="0.25">
      <c r="A164" t="str">
        <f>VLOOKUP(C164,'[1]Agency Dict'!C$2:F$42,4,0)</f>
        <v>Community Services</v>
      </c>
      <c r="B164" t="str">
        <f>VLOOKUP(C164,'[1]Agency Dict'!C$2:E$42,3,0)</f>
        <v>CCHR</v>
      </c>
      <c r="C164" s="2" t="s">
        <v>38</v>
      </c>
      <c r="D164" t="s">
        <v>8</v>
      </c>
      <c r="E164" s="3"/>
      <c r="F164" s="3"/>
      <c r="G164" s="3">
        <v>69984</v>
      </c>
      <c r="H164" s="3"/>
      <c r="I164" s="3"/>
      <c r="J164" s="3"/>
    </row>
    <row r="165" spans="1:10" x14ac:dyDescent="0.25">
      <c r="A165" t="str">
        <f>VLOOKUP(C165,'[1]Agency Dict'!C$2:F$42,4,0)</f>
        <v>Community Services</v>
      </c>
      <c r="B165" t="str">
        <f>VLOOKUP(C165,'[1]Agency Dict'!C$2:E$42,3,0)</f>
        <v>CCHR</v>
      </c>
      <c r="C165" s="2" t="s">
        <v>38</v>
      </c>
      <c r="D165" t="s">
        <v>5</v>
      </c>
      <c r="E165" s="3">
        <v>1857</v>
      </c>
      <c r="F165" s="3">
        <v>1857</v>
      </c>
      <c r="G165" s="3">
        <v>2043</v>
      </c>
      <c r="H165" s="3">
        <v>2247</v>
      </c>
      <c r="I165" s="3">
        <v>2554</v>
      </c>
      <c r="J165" s="3">
        <v>2554</v>
      </c>
    </row>
    <row r="166" spans="1:10" x14ac:dyDescent="0.25">
      <c r="A166" t="str">
        <f>VLOOKUP(C166,'[1]Agency Dict'!C$2:F$42,4,0)</f>
        <v>Community Services</v>
      </c>
      <c r="B166" t="str">
        <f>VLOOKUP(C166,'[1]Agency Dict'!C$2:E$42,3,0)</f>
        <v>CCHR</v>
      </c>
      <c r="C166" s="4" t="s">
        <v>38</v>
      </c>
      <c r="D166" t="s">
        <v>6</v>
      </c>
      <c r="E166" s="3">
        <v>345</v>
      </c>
      <c r="F166" s="3"/>
      <c r="G166" s="3"/>
      <c r="H166" s="3"/>
      <c r="I166" s="3"/>
      <c r="J166" s="3"/>
    </row>
    <row r="167" spans="1:10" x14ac:dyDescent="0.25">
      <c r="A167" t="str">
        <f>VLOOKUP(C167,'[1]Agency Dict'!C$2:F$42,4,0)</f>
        <v>Legislative and Election</v>
      </c>
      <c r="B167" t="str">
        <f>VLOOKUP(C167,'[1]Agency Dict'!C$2:E$42,3,0)</f>
        <v>COUNCIL</v>
      </c>
      <c r="C167" s="2" t="s">
        <v>39</v>
      </c>
      <c r="D167" t="s">
        <v>4</v>
      </c>
      <c r="E167" s="3">
        <v>15380</v>
      </c>
      <c r="F167" s="3">
        <v>15380</v>
      </c>
      <c r="G167" s="3">
        <v>15380</v>
      </c>
      <c r="H167" s="3">
        <v>15380</v>
      </c>
      <c r="I167" s="3">
        <v>15380</v>
      </c>
      <c r="J167" s="3">
        <v>15380</v>
      </c>
    </row>
    <row r="168" spans="1:10" x14ac:dyDescent="0.25">
      <c r="A168" t="str">
        <f>VLOOKUP(C168,'[1]Agency Dict'!C$2:F$42,4,0)</f>
        <v>Legislative and Election</v>
      </c>
      <c r="B168" t="str">
        <f>VLOOKUP(C168,'[1]Agency Dict'!C$2:E$42,3,0)</f>
        <v>COUNCIL</v>
      </c>
      <c r="C168" s="2" t="s">
        <v>39</v>
      </c>
      <c r="D168" t="s">
        <v>3</v>
      </c>
      <c r="E168" s="3">
        <v>43660</v>
      </c>
      <c r="F168" s="3">
        <v>1500</v>
      </c>
      <c r="G168" s="3">
        <v>1500</v>
      </c>
      <c r="H168" s="3">
        <v>1500</v>
      </c>
      <c r="I168" s="3">
        <v>1500</v>
      </c>
      <c r="J168" s="3">
        <v>1500</v>
      </c>
    </row>
    <row r="169" spans="1:10" x14ac:dyDescent="0.25">
      <c r="A169" t="str">
        <f>VLOOKUP(C169,'[1]Agency Dict'!C$2:F$42,4,0)</f>
        <v>Legislative and Election</v>
      </c>
      <c r="B169" t="str">
        <f>VLOOKUP(C169,'[1]Agency Dict'!C$2:E$42,3,0)</f>
        <v>COUNCIL</v>
      </c>
      <c r="C169" s="4" t="s">
        <v>39</v>
      </c>
      <c r="D169" t="s">
        <v>6</v>
      </c>
      <c r="E169" s="3">
        <v>2260</v>
      </c>
      <c r="F169" s="3"/>
      <c r="G169" s="3"/>
      <c r="H169" s="3"/>
      <c r="I169" s="3"/>
      <c r="J169" s="3"/>
    </row>
    <row r="170" spans="1:10" x14ac:dyDescent="0.25">
      <c r="A170" t="str">
        <f>VLOOKUP(C170,'[1]Agency Dict'!C$2:F$42,4,0)</f>
        <v>Regulatory</v>
      </c>
      <c r="B170" t="str">
        <f>VLOOKUP(C170,'[1]Agency Dict'!C$2:E$42,3,0)</f>
        <v>LAC</v>
      </c>
      <c r="C170" s="2" t="s">
        <v>40</v>
      </c>
      <c r="D170" t="s">
        <v>4</v>
      </c>
      <c r="E170" s="3">
        <v>20822</v>
      </c>
      <c r="F170" s="3">
        <v>20899</v>
      </c>
      <c r="G170" s="3">
        <v>20982</v>
      </c>
      <c r="H170" s="3">
        <v>20750.75</v>
      </c>
      <c r="I170" s="3">
        <v>20785.5</v>
      </c>
      <c r="J170" s="3">
        <v>20785.5</v>
      </c>
    </row>
    <row r="171" spans="1:10" x14ac:dyDescent="0.25">
      <c r="A171" t="str">
        <f>VLOOKUP(C171,'[1]Agency Dict'!C$2:F$42,4,0)</f>
        <v>Regulatory</v>
      </c>
      <c r="B171" t="str">
        <f>VLOOKUP(C171,'[1]Agency Dict'!C$2:E$42,3,0)</f>
        <v>LAC</v>
      </c>
      <c r="C171" s="2" t="s">
        <v>40</v>
      </c>
      <c r="D171" t="s">
        <v>3</v>
      </c>
      <c r="E171" s="3">
        <v>330</v>
      </c>
      <c r="F171" s="3"/>
      <c r="G171" s="3"/>
      <c r="H171" s="3"/>
      <c r="I171" s="3"/>
      <c r="J171" s="3"/>
    </row>
    <row r="172" spans="1:10" x14ac:dyDescent="0.25">
      <c r="A172" t="str">
        <f>VLOOKUP(C172,'[1]Agency Dict'!C$2:F$42,4,0)</f>
        <v>Regulatory</v>
      </c>
      <c r="B172" t="str">
        <f>VLOOKUP(C172,'[1]Agency Dict'!C$2:E$42,3,0)</f>
        <v>LAC</v>
      </c>
      <c r="C172" s="4" t="s">
        <v>40</v>
      </c>
      <c r="D172" t="s">
        <v>6</v>
      </c>
      <c r="E172" s="3">
        <v>25</v>
      </c>
      <c r="F172" s="3"/>
      <c r="G172" s="3"/>
      <c r="H172" s="3"/>
      <c r="I172" s="3"/>
      <c r="J172" s="3"/>
    </row>
    <row r="173" spans="1:10" x14ac:dyDescent="0.25">
      <c r="A173" t="str">
        <f>VLOOKUP(C173,'[1]Agency Dict'!C$2:F$42,4,0)</f>
        <v>Regulatory</v>
      </c>
      <c r="B173" t="str">
        <f>VLOOKUP(C173,'[1]Agency Dict'!C$2:E$42,3,0)</f>
        <v>ETHICS</v>
      </c>
      <c r="C173" s="2" t="s">
        <v>41</v>
      </c>
      <c r="D173" t="s">
        <v>4</v>
      </c>
      <c r="E173" s="3">
        <v>7375</v>
      </c>
      <c r="F173" s="3">
        <v>7500</v>
      </c>
      <c r="G173" s="3">
        <v>5250</v>
      </c>
      <c r="H173" s="3">
        <v>5250</v>
      </c>
      <c r="I173" s="3">
        <v>5250</v>
      </c>
      <c r="J173" s="3">
        <v>5250</v>
      </c>
    </row>
    <row r="174" spans="1:10" x14ac:dyDescent="0.25">
      <c r="A174" t="str">
        <f>VLOOKUP(C174,'[1]Agency Dict'!C$2:F$42,4,0)</f>
        <v>Regulatory</v>
      </c>
      <c r="B174" t="str">
        <f>VLOOKUP(C174,'[1]Agency Dict'!C$2:E$42,3,0)</f>
        <v>ETHICS</v>
      </c>
      <c r="C174" s="2" t="s">
        <v>41</v>
      </c>
      <c r="D174" t="s">
        <v>5</v>
      </c>
      <c r="E174" s="3">
        <v>5000</v>
      </c>
      <c r="F174" s="3">
        <v>5000</v>
      </c>
      <c r="G174" s="3">
        <v>4000</v>
      </c>
      <c r="H174" s="3">
        <v>4000</v>
      </c>
      <c r="I174" s="3">
        <v>4000</v>
      </c>
      <c r="J174" s="3">
        <v>6000</v>
      </c>
    </row>
    <row r="175" spans="1:10" x14ac:dyDescent="0.25">
      <c r="A175" t="str">
        <f>VLOOKUP(C175,'[1]Agency Dict'!C$2:F$42,4,0)</f>
        <v>Regulatory</v>
      </c>
      <c r="B175" t="str">
        <f>VLOOKUP(C175,'[1]Agency Dict'!C$2:E$42,3,0)</f>
        <v>ETHICS</v>
      </c>
      <c r="C175" s="2" t="s">
        <v>41</v>
      </c>
      <c r="D175" t="s">
        <v>3</v>
      </c>
      <c r="E175" s="3">
        <v>1975</v>
      </c>
      <c r="F175" s="3"/>
      <c r="G175" s="3"/>
      <c r="H175" s="3"/>
      <c r="I175" s="3"/>
      <c r="J175" s="3"/>
    </row>
    <row r="176" spans="1:10" x14ac:dyDescent="0.25">
      <c r="A176" t="str">
        <f>VLOOKUP(C176,'[1]Agency Dict'!C$2:F$42,4,0)</f>
        <v>Regulatory</v>
      </c>
      <c r="B176" t="str">
        <f>VLOOKUP(C176,'[1]Agency Dict'!C$2:E$42,3,0)</f>
        <v>ETHICS</v>
      </c>
      <c r="C176" s="4" t="s">
        <v>41</v>
      </c>
      <c r="D176" t="s">
        <v>6</v>
      </c>
      <c r="E176" s="3">
        <v>195</v>
      </c>
      <c r="F176" s="3"/>
      <c r="G176" s="3"/>
      <c r="H176" s="3"/>
      <c r="I176" s="3"/>
      <c r="J176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9972C75F19BA41B3BBBF84EAE85B4A" ma:contentTypeVersion="3" ma:contentTypeDescription="Create a new document." ma:contentTypeScope="" ma:versionID="615b339606441aa1a343d9d6a49b4434">
  <xsd:schema xmlns:xsd="http://www.w3.org/2001/XMLSchema" xmlns:xs="http://www.w3.org/2001/XMLSchema" xmlns:p="http://schemas.microsoft.com/office/2006/metadata/properties" xmlns:ns2="1fae948d-0a17-4b20-bf80-1279cd45c804" targetNamespace="http://schemas.microsoft.com/office/2006/metadata/properties" ma:root="true" ma:fieldsID="d688dccc9d1d1e4b493b8f1d678a041e" ns2:_="">
    <xsd:import namespace="1fae948d-0a17-4b20-bf80-1279cd45c8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ae948d-0a17-4b20-bf80-1279cd45c8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939ECE9-FE7A-4C18-BD0F-A8851BEF144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2E4E91E-FC1F-42CE-9022-3367D04D5C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ae948d-0a17-4b20-bf80-1279cd45c80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4A0E21F-9526-4C8C-8D01-6EF752324DD5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Chicago IT budget_clean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Ruelas</dc:creator>
  <cp:lastModifiedBy>Juan Carlos Ruelas</cp:lastModifiedBy>
  <dcterms:created xsi:type="dcterms:W3CDTF">2026-02-10T15:35:30Z</dcterms:created>
  <dcterms:modified xsi:type="dcterms:W3CDTF">2026-02-10T23:24:31Z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0x010100409972C75F19BA41B3BBBF84EAE85B4A</vt:lpwstr>
  </property>
</Properties>
</file>